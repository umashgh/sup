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umashankar/apps/sup/docs/"/>
    </mc:Choice>
  </mc:AlternateContent>
  <xr:revisionPtr revIDLastSave="0" documentId="13_ncr:1_{28DB7BB5-BAE0-E745-A7F8-D57D53D3D2AB}" xr6:coauthVersionLast="47" xr6:coauthVersionMax="47" xr10:uidLastSave="{00000000-0000-0000-0000-000000000000}"/>
  <bookViews>
    <workbookView xWindow="0" yWindow="660" windowWidth="30240" windowHeight="17360" activeTab="2" xr2:uid="{00000000-000D-0000-FFFF-FFFF00000000}"/>
  </bookViews>
  <sheets>
    <sheet name="README" sheetId="1" r:id="rId1"/>
    <sheet name="Rates" sheetId="2" r:id="rId2"/>
    <sheet name="FOUNDER_Quick" sheetId="3" r:id="rId3"/>
    <sheet name="RETIRE_Quick" sheetId="4" r:id="rId4"/>
    <sheet name="FOUNDER_Std" sheetId="5" r:id="rId5"/>
    <sheet name="RETIRE_St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6" l="1"/>
  <c r="M35" i="6"/>
  <c r="M32" i="6"/>
  <c r="K31" i="6"/>
  <c r="K30" i="6"/>
  <c r="H30" i="6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E30" i="6"/>
  <c r="D30" i="6"/>
  <c r="B26" i="6"/>
  <c r="B25" i="6"/>
  <c r="B27" i="6" s="1"/>
  <c r="B24" i="6"/>
  <c r="B23" i="6"/>
  <c r="B20" i="6"/>
  <c r="B19" i="6"/>
  <c r="G30" i="6" s="1"/>
  <c r="G31" i="6" s="1"/>
  <c r="K35" i="5"/>
  <c r="H35" i="5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34" i="5"/>
  <c r="K31" i="5"/>
  <c r="K32" i="5" s="1"/>
  <c r="K33" i="5" s="1"/>
  <c r="K34" i="5" s="1"/>
  <c r="K30" i="5"/>
  <c r="H30" i="5"/>
  <c r="H31" i="5" s="1"/>
  <c r="H32" i="5" s="1"/>
  <c r="H33" i="5" s="1"/>
  <c r="M29" i="5"/>
  <c r="K29" i="5"/>
  <c r="H29" i="5"/>
  <c r="E29" i="5"/>
  <c r="D29" i="5"/>
  <c r="B26" i="5"/>
  <c r="B21" i="5"/>
  <c r="C18" i="5"/>
  <c r="C17" i="5"/>
  <c r="B17" i="5"/>
  <c r="B16" i="5"/>
  <c r="B34" i="4"/>
  <c r="B33" i="4"/>
  <c r="B35" i="4" s="1"/>
  <c r="B30" i="4"/>
  <c r="B27" i="4"/>
  <c r="B24" i="4"/>
  <c r="B21" i="4"/>
  <c r="B18" i="4"/>
  <c r="B17" i="4"/>
  <c r="B8" i="4"/>
  <c r="B20" i="4" s="1"/>
  <c r="B7" i="4"/>
  <c r="B19" i="4" s="1"/>
  <c r="B21" i="3"/>
  <c r="B17" i="3"/>
  <c r="B5" i="3"/>
  <c r="B16" i="3" s="1"/>
  <c r="B4" i="3"/>
  <c r="B15" i="3" s="1"/>
  <c r="B29" i="4" l="1"/>
  <c r="B22" i="4"/>
  <c r="J31" i="6"/>
  <c r="G32" i="6"/>
  <c r="B20" i="3"/>
  <c r="B18" i="3"/>
  <c r="B26" i="3"/>
  <c r="B27" i="3" s="1"/>
  <c r="K36" i="5"/>
  <c r="E31" i="6"/>
  <c r="L30" i="6"/>
  <c r="N30" i="6" s="1"/>
  <c r="B22" i="6"/>
  <c r="C30" i="6" s="1"/>
  <c r="B21" i="6"/>
  <c r="B30" i="6" s="1"/>
  <c r="L29" i="5"/>
  <c r="N29" i="5" s="1"/>
  <c r="E30" i="5"/>
  <c r="B22" i="5"/>
  <c r="B23" i="5" s="1"/>
  <c r="J30" i="6"/>
  <c r="M30" i="5"/>
  <c r="M31" i="5"/>
  <c r="M33" i="5"/>
  <c r="M34" i="5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K32" i="6"/>
  <c r="B19" i="3"/>
  <c r="B23" i="3" s="1"/>
  <c r="B25" i="3" s="1"/>
  <c r="B56" i="6"/>
  <c r="B25" i="4"/>
  <c r="B23" i="4"/>
  <c r="B32" i="4" s="1"/>
  <c r="M32" i="5"/>
  <c r="B24" i="5"/>
  <c r="B25" i="5" s="1"/>
  <c r="B18" i="5"/>
  <c r="G29" i="5"/>
  <c r="M37" i="6"/>
  <c r="M31" i="6"/>
  <c r="M42" i="6"/>
  <c r="M43" i="6" s="1"/>
  <c r="M44" i="6" s="1"/>
  <c r="M45" i="6" s="1"/>
  <c r="M46" i="6" s="1"/>
  <c r="M47" i="6" s="1"/>
  <c r="M48" i="6" s="1"/>
  <c r="M49" i="6" s="1"/>
  <c r="M50" i="6" s="1"/>
  <c r="M36" i="6"/>
  <c r="M30" i="6"/>
  <c r="M41" i="6"/>
  <c r="M40" i="6"/>
  <c r="M34" i="6"/>
  <c r="M33" i="6"/>
  <c r="M38" i="6"/>
  <c r="B36" i="4" l="1"/>
  <c r="B26" i="4"/>
  <c r="B28" i="4" s="1"/>
  <c r="F30" i="6"/>
  <c r="V30" i="6" s="1"/>
  <c r="B22" i="3"/>
  <c r="B24" i="3" s="1"/>
  <c r="O30" i="6"/>
  <c r="U30" i="6"/>
  <c r="G33" i="6"/>
  <c r="J32" i="6"/>
  <c r="E32" i="6"/>
  <c r="L31" i="6"/>
  <c r="N31" i="6" s="1"/>
  <c r="K37" i="5"/>
  <c r="E31" i="5"/>
  <c r="L30" i="5"/>
  <c r="N30" i="5" s="1"/>
  <c r="K33" i="6"/>
  <c r="G30" i="5"/>
  <c r="J29" i="5"/>
  <c r="O29" i="5" s="1"/>
  <c r="B20" i="5"/>
  <c r="C29" i="5" s="1"/>
  <c r="B19" i="5"/>
  <c r="B29" i="5" s="1"/>
  <c r="B31" i="4"/>
  <c r="T29" i="5" l="1"/>
  <c r="P29" i="5"/>
  <c r="O30" i="5"/>
  <c r="K38" i="5"/>
  <c r="U31" i="6"/>
  <c r="O31" i="6"/>
  <c r="P30" i="6"/>
  <c r="T30" i="6"/>
  <c r="G31" i="5"/>
  <c r="J30" i="5"/>
  <c r="U30" i="5" s="1"/>
  <c r="K34" i="6"/>
  <c r="U29" i="5"/>
  <c r="E32" i="5"/>
  <c r="L31" i="5"/>
  <c r="N31" i="5" s="1"/>
  <c r="F29" i="5"/>
  <c r="V29" i="5" s="1"/>
  <c r="Q29" i="5"/>
  <c r="B30" i="5" s="1"/>
  <c r="L32" i="6"/>
  <c r="N32" i="6" s="1"/>
  <c r="E33" i="6"/>
  <c r="J33" i="6"/>
  <c r="G34" i="6"/>
  <c r="T31" i="6" l="1"/>
  <c r="P31" i="6"/>
  <c r="E33" i="5"/>
  <c r="L32" i="5"/>
  <c r="N32" i="5" s="1"/>
  <c r="K39" i="5"/>
  <c r="J34" i="6"/>
  <c r="G35" i="6"/>
  <c r="K35" i="6"/>
  <c r="Q30" i="6"/>
  <c r="B31" i="6" s="1"/>
  <c r="P30" i="5"/>
  <c r="Q30" i="5" s="1"/>
  <c r="B31" i="5" s="1"/>
  <c r="T30" i="5"/>
  <c r="O31" i="5"/>
  <c r="U31" i="5"/>
  <c r="L33" i="6"/>
  <c r="N33" i="6" s="1"/>
  <c r="E34" i="6"/>
  <c r="J31" i="5"/>
  <c r="G32" i="5"/>
  <c r="R29" i="5"/>
  <c r="C30" i="5" s="1"/>
  <c r="O32" i="6"/>
  <c r="U32" i="6"/>
  <c r="P31" i="5" l="1"/>
  <c r="Q31" i="5" s="1"/>
  <c r="B32" i="5" s="1"/>
  <c r="T31" i="5"/>
  <c r="G36" i="6"/>
  <c r="J35" i="6"/>
  <c r="R30" i="5"/>
  <c r="C31" i="5" s="1"/>
  <c r="Q31" i="6"/>
  <c r="B32" i="6" s="1"/>
  <c r="K40" i="5"/>
  <c r="R30" i="6"/>
  <c r="C31" i="6" s="1"/>
  <c r="U32" i="5"/>
  <c r="E35" i="6"/>
  <c r="L34" i="6"/>
  <c r="N34" i="6" s="1"/>
  <c r="T32" i="6"/>
  <c r="P32" i="6"/>
  <c r="S29" i="5"/>
  <c r="D30" i="5" s="1"/>
  <c r="G33" i="5"/>
  <c r="J32" i="5"/>
  <c r="O32" i="5" s="1"/>
  <c r="L33" i="5"/>
  <c r="N33" i="5" s="1"/>
  <c r="E34" i="5"/>
  <c r="K36" i="6"/>
  <c r="R31" i="6"/>
  <c r="S31" i="6" s="1"/>
  <c r="U33" i="6"/>
  <c r="O33" i="6"/>
  <c r="S30" i="5" l="1"/>
  <c r="T32" i="5"/>
  <c r="P32" i="5"/>
  <c r="Q32" i="5" s="1"/>
  <c r="B33" i="5" s="1"/>
  <c r="O33" i="5"/>
  <c r="U33" i="5"/>
  <c r="C32" i="6"/>
  <c r="D31" i="5"/>
  <c r="F31" i="5" s="1"/>
  <c r="V31" i="5" s="1"/>
  <c r="F30" i="5"/>
  <c r="V30" i="5" s="1"/>
  <c r="O34" i="6"/>
  <c r="U34" i="6"/>
  <c r="E36" i="6"/>
  <c r="L35" i="6"/>
  <c r="N35" i="6" s="1"/>
  <c r="G34" i="5"/>
  <c r="J33" i="5"/>
  <c r="R31" i="5"/>
  <c r="C32" i="5" s="1"/>
  <c r="S30" i="6"/>
  <c r="D31" i="6" s="1"/>
  <c r="K41" i="5"/>
  <c r="Q32" i="6"/>
  <c r="B33" i="6" s="1"/>
  <c r="K37" i="6"/>
  <c r="E35" i="5"/>
  <c r="L34" i="5"/>
  <c r="N34" i="5" s="1"/>
  <c r="G37" i="6"/>
  <c r="J36" i="6"/>
  <c r="P33" i="6"/>
  <c r="T33" i="6"/>
  <c r="Q33" i="6" l="1"/>
  <c r="B34" i="6" s="1"/>
  <c r="D32" i="6"/>
  <c r="F32" i="6" s="1"/>
  <c r="V32" i="6" s="1"/>
  <c r="F31" i="6"/>
  <c r="V31" i="6" s="1"/>
  <c r="S31" i="5"/>
  <c r="D32" i="5" s="1"/>
  <c r="L35" i="5"/>
  <c r="N35" i="5" s="1"/>
  <c r="E36" i="5"/>
  <c r="J34" i="5"/>
  <c r="U34" i="5" s="1"/>
  <c r="G35" i="5"/>
  <c r="T33" i="5"/>
  <c r="P33" i="5"/>
  <c r="Q33" i="5" s="1"/>
  <c r="B34" i="5" s="1"/>
  <c r="O35" i="6"/>
  <c r="U35" i="6"/>
  <c r="R32" i="5"/>
  <c r="C33" i="5" s="1"/>
  <c r="J37" i="6"/>
  <c r="G38" i="6"/>
  <c r="K38" i="6"/>
  <c r="L36" i="6"/>
  <c r="N36" i="6" s="1"/>
  <c r="E37" i="6"/>
  <c r="R32" i="6"/>
  <c r="C33" i="6" s="1"/>
  <c r="P34" i="6"/>
  <c r="T34" i="6"/>
  <c r="K42" i="5"/>
  <c r="R33" i="6" l="1"/>
  <c r="S33" i="6" s="1"/>
  <c r="S32" i="6"/>
  <c r="E37" i="5"/>
  <c r="L36" i="5"/>
  <c r="N36" i="5" s="1"/>
  <c r="O36" i="6"/>
  <c r="U36" i="6"/>
  <c r="S32" i="5"/>
  <c r="D33" i="5" s="1"/>
  <c r="K43" i="5"/>
  <c r="F32" i="5"/>
  <c r="V32" i="5" s="1"/>
  <c r="O34" i="5"/>
  <c r="B35" i="6"/>
  <c r="Q34" i="6"/>
  <c r="E38" i="6"/>
  <c r="L37" i="6"/>
  <c r="N37" i="6" s="1"/>
  <c r="K39" i="6"/>
  <c r="D33" i="6"/>
  <c r="D34" i="6" s="1"/>
  <c r="T35" i="6"/>
  <c r="P35" i="6"/>
  <c r="R33" i="5"/>
  <c r="C34" i="5" s="1"/>
  <c r="J38" i="6"/>
  <c r="G39" i="6"/>
  <c r="J35" i="5"/>
  <c r="O35" i="5" s="1"/>
  <c r="G36" i="5"/>
  <c r="P35" i="5" l="1"/>
  <c r="T35" i="5"/>
  <c r="Q35" i="6"/>
  <c r="B36" i="6" s="1"/>
  <c r="T34" i="5"/>
  <c r="P34" i="5"/>
  <c r="G37" i="5"/>
  <c r="J36" i="5"/>
  <c r="K44" i="5"/>
  <c r="C34" i="6"/>
  <c r="K40" i="6"/>
  <c r="L38" i="6"/>
  <c r="N38" i="6" s="1"/>
  <c r="E39" i="6"/>
  <c r="U35" i="5"/>
  <c r="F33" i="5"/>
  <c r="V33" i="5" s="1"/>
  <c r="T36" i="6"/>
  <c r="P36" i="6"/>
  <c r="O36" i="5"/>
  <c r="U36" i="5"/>
  <c r="U37" i="6"/>
  <c r="O37" i="6"/>
  <c r="L37" i="5"/>
  <c r="N37" i="5" s="1"/>
  <c r="E38" i="5"/>
  <c r="G40" i="6"/>
  <c r="J39" i="6"/>
  <c r="F33" i="6"/>
  <c r="V33" i="6" s="1"/>
  <c r="S33" i="5"/>
  <c r="D34" i="5" s="1"/>
  <c r="L38" i="5" l="1"/>
  <c r="N38" i="5" s="1"/>
  <c r="E39" i="5"/>
  <c r="P36" i="5"/>
  <c r="T36" i="5"/>
  <c r="Q36" i="6"/>
  <c r="B37" i="6" s="1"/>
  <c r="K41" i="6"/>
  <c r="K45" i="5"/>
  <c r="F34" i="5"/>
  <c r="V34" i="5" s="1"/>
  <c r="G38" i="5"/>
  <c r="J37" i="5"/>
  <c r="U37" i="5" s="1"/>
  <c r="G41" i="6"/>
  <c r="J40" i="6"/>
  <c r="Q34" i="5"/>
  <c r="B35" i="5" s="1"/>
  <c r="E40" i="6"/>
  <c r="L39" i="6"/>
  <c r="N39" i="6" s="1"/>
  <c r="U38" i="6"/>
  <c r="O38" i="6"/>
  <c r="P37" i="6"/>
  <c r="T37" i="6"/>
  <c r="F34" i="6"/>
  <c r="V34" i="6" s="1"/>
  <c r="R34" i="6"/>
  <c r="S34" i="6" s="1"/>
  <c r="D35" i="6" s="1"/>
  <c r="C35" i="6" l="1"/>
  <c r="J41" i="6"/>
  <c r="G42" i="6"/>
  <c r="Q37" i="6"/>
  <c r="B38" i="6"/>
  <c r="O39" i="6"/>
  <c r="U39" i="6"/>
  <c r="O37" i="5"/>
  <c r="K46" i="5"/>
  <c r="F35" i="6"/>
  <c r="V35" i="6" s="1"/>
  <c r="J38" i="5"/>
  <c r="U38" i="5" s="1"/>
  <c r="G39" i="5"/>
  <c r="T38" i="6"/>
  <c r="P38" i="6"/>
  <c r="K42" i="6"/>
  <c r="E41" i="6"/>
  <c r="L40" i="6"/>
  <c r="N40" i="6" s="1"/>
  <c r="Q35" i="5"/>
  <c r="B36" i="5" s="1"/>
  <c r="L39" i="5"/>
  <c r="N39" i="5" s="1"/>
  <c r="E40" i="5"/>
  <c r="R34" i="5"/>
  <c r="C35" i="5" s="1"/>
  <c r="R35" i="6"/>
  <c r="S35" i="6" s="1"/>
  <c r="D36" i="6" s="1"/>
  <c r="C36" i="6" l="1"/>
  <c r="Q36" i="5"/>
  <c r="U40" i="6"/>
  <c r="O40" i="6"/>
  <c r="T39" i="6"/>
  <c r="P39" i="6"/>
  <c r="L40" i="5"/>
  <c r="N40" i="5" s="1"/>
  <c r="E41" i="5"/>
  <c r="F36" i="6"/>
  <c r="V36" i="6" s="1"/>
  <c r="K43" i="6"/>
  <c r="P37" i="5"/>
  <c r="T37" i="5"/>
  <c r="J39" i="5"/>
  <c r="U39" i="5" s="1"/>
  <c r="G40" i="5"/>
  <c r="R35" i="5"/>
  <c r="C36" i="5" s="1"/>
  <c r="Q38" i="6"/>
  <c r="B39" i="6" s="1"/>
  <c r="R36" i="6"/>
  <c r="S36" i="6" s="1"/>
  <c r="D37" i="6" s="1"/>
  <c r="E42" i="6"/>
  <c r="L41" i="6"/>
  <c r="N41" i="6" s="1"/>
  <c r="K47" i="5"/>
  <c r="S34" i="5"/>
  <c r="D35" i="5" s="1"/>
  <c r="J42" i="6"/>
  <c r="G43" i="6"/>
  <c r="O38" i="5"/>
  <c r="S35" i="5" l="1"/>
  <c r="Q39" i="6"/>
  <c r="B40" i="6" s="1"/>
  <c r="O41" i="6"/>
  <c r="U41" i="6"/>
  <c r="E43" i="6"/>
  <c r="L42" i="6"/>
  <c r="N42" i="6" s="1"/>
  <c r="P40" i="6"/>
  <c r="T40" i="6"/>
  <c r="O39" i="5"/>
  <c r="K44" i="6"/>
  <c r="G44" i="6"/>
  <c r="J43" i="6"/>
  <c r="C37" i="6"/>
  <c r="P38" i="5"/>
  <c r="T38" i="5"/>
  <c r="R36" i="5"/>
  <c r="S36" i="5" s="1"/>
  <c r="D36" i="5"/>
  <c r="E42" i="5"/>
  <c r="L41" i="5"/>
  <c r="N41" i="5" s="1"/>
  <c r="B37" i="5"/>
  <c r="F35" i="5"/>
  <c r="V35" i="5" s="1"/>
  <c r="K48" i="5"/>
  <c r="J40" i="5"/>
  <c r="G41" i="5"/>
  <c r="O40" i="5"/>
  <c r="U40" i="5"/>
  <c r="Q40" i="6" l="1"/>
  <c r="B41" i="6" s="1"/>
  <c r="U42" i="6"/>
  <c r="O42" i="6"/>
  <c r="K49" i="5"/>
  <c r="C37" i="5"/>
  <c r="J44" i="6"/>
  <c r="G45" i="6"/>
  <c r="D37" i="5"/>
  <c r="T39" i="5"/>
  <c r="P39" i="5"/>
  <c r="F36" i="5"/>
  <c r="V36" i="5" s="1"/>
  <c r="L43" i="6"/>
  <c r="N43" i="6" s="1"/>
  <c r="E44" i="6"/>
  <c r="F37" i="6"/>
  <c r="V37" i="6" s="1"/>
  <c r="R37" i="6"/>
  <c r="S37" i="6" s="1"/>
  <c r="D38" i="6" s="1"/>
  <c r="P41" i="6"/>
  <c r="T41" i="6"/>
  <c r="Q37" i="5"/>
  <c r="B38" i="5" s="1"/>
  <c r="U41" i="5"/>
  <c r="O41" i="5"/>
  <c r="T40" i="5"/>
  <c r="P40" i="5"/>
  <c r="G42" i="5"/>
  <c r="J41" i="5"/>
  <c r="E43" i="5"/>
  <c r="L42" i="5"/>
  <c r="N42" i="5" s="1"/>
  <c r="K45" i="6"/>
  <c r="C38" i="6" l="1"/>
  <c r="Q38" i="5"/>
  <c r="O43" i="6"/>
  <c r="U43" i="6"/>
  <c r="F38" i="6"/>
  <c r="V38" i="6" s="1"/>
  <c r="R38" i="6"/>
  <c r="S38" i="6" s="1"/>
  <c r="D39" i="6" s="1"/>
  <c r="J42" i="5"/>
  <c r="G43" i="5"/>
  <c r="P41" i="5"/>
  <c r="T41" i="5"/>
  <c r="E45" i="6"/>
  <c r="L44" i="6"/>
  <c r="N44" i="6" s="1"/>
  <c r="K46" i="6"/>
  <c r="F37" i="5"/>
  <c r="V37" i="5" s="1"/>
  <c r="T42" i="6"/>
  <c r="P42" i="6"/>
  <c r="R37" i="5"/>
  <c r="S37" i="5" s="1"/>
  <c r="D38" i="5" s="1"/>
  <c r="O42" i="5"/>
  <c r="U42" i="5"/>
  <c r="Q41" i="6"/>
  <c r="E44" i="5"/>
  <c r="L43" i="5"/>
  <c r="N43" i="5" s="1"/>
  <c r="J45" i="6"/>
  <c r="G46" i="6"/>
  <c r="C38" i="5" l="1"/>
  <c r="G47" i="6"/>
  <c r="J46" i="6"/>
  <c r="T43" i="6"/>
  <c r="P43" i="6"/>
  <c r="C39" i="6"/>
  <c r="B42" i="6"/>
  <c r="E46" i="6"/>
  <c r="L45" i="6"/>
  <c r="N45" i="6" s="1"/>
  <c r="G44" i="5"/>
  <c r="J43" i="5"/>
  <c r="K47" i="6"/>
  <c r="U44" i="6"/>
  <c r="O44" i="6"/>
  <c r="R38" i="5"/>
  <c r="C39" i="5" s="1"/>
  <c r="B39" i="5"/>
  <c r="P42" i="5"/>
  <c r="T42" i="5"/>
  <c r="F38" i="5"/>
  <c r="V38" i="5" s="1"/>
  <c r="O43" i="5"/>
  <c r="U43" i="5"/>
  <c r="L44" i="5"/>
  <c r="N44" i="5" s="1"/>
  <c r="E45" i="5"/>
  <c r="S38" i="5" l="1"/>
  <c r="D39" i="5" s="1"/>
  <c r="E46" i="5"/>
  <c r="L45" i="5"/>
  <c r="N45" i="5" s="1"/>
  <c r="T43" i="5"/>
  <c r="P43" i="5"/>
  <c r="K48" i="6"/>
  <c r="F39" i="5"/>
  <c r="V39" i="5" s="1"/>
  <c r="Q39" i="5"/>
  <c r="E47" i="6"/>
  <c r="L46" i="6"/>
  <c r="N46" i="6" s="1"/>
  <c r="Q42" i="6"/>
  <c r="B43" i="6" s="1"/>
  <c r="F39" i="6"/>
  <c r="V39" i="6" s="1"/>
  <c r="R39" i="6"/>
  <c r="S39" i="6" s="1"/>
  <c r="D40" i="6" s="1"/>
  <c r="P44" i="6"/>
  <c r="T44" i="6"/>
  <c r="G48" i="6"/>
  <c r="J47" i="6"/>
  <c r="G45" i="5"/>
  <c r="J44" i="5"/>
  <c r="O44" i="5" s="1"/>
  <c r="O45" i="6"/>
  <c r="U45" i="6"/>
  <c r="T44" i="5" l="1"/>
  <c r="P44" i="5"/>
  <c r="P45" i="6"/>
  <c r="T45" i="6"/>
  <c r="C40" i="6"/>
  <c r="J45" i="5"/>
  <c r="G46" i="5"/>
  <c r="U45" i="5"/>
  <c r="O45" i="5"/>
  <c r="Q43" i="6"/>
  <c r="O46" i="6"/>
  <c r="U46" i="6"/>
  <c r="L47" i="6"/>
  <c r="N47" i="6" s="1"/>
  <c r="E48" i="6"/>
  <c r="R39" i="5"/>
  <c r="C40" i="5" s="1"/>
  <c r="K49" i="6"/>
  <c r="U44" i="5"/>
  <c r="J48" i="6"/>
  <c r="G49" i="6"/>
  <c r="L46" i="5"/>
  <c r="N46" i="5" s="1"/>
  <c r="E47" i="5"/>
  <c r="B40" i="5"/>
  <c r="S39" i="5" l="1"/>
  <c r="D40" i="5" s="1"/>
  <c r="T45" i="5"/>
  <c r="P45" i="5"/>
  <c r="E48" i="5"/>
  <c r="L47" i="5"/>
  <c r="N47" i="5" s="1"/>
  <c r="E49" i="6"/>
  <c r="L48" i="6"/>
  <c r="N48" i="6" s="1"/>
  <c r="F40" i="6"/>
  <c r="V40" i="6" s="1"/>
  <c r="R40" i="6"/>
  <c r="S40" i="6" s="1"/>
  <c r="D41" i="6" s="1"/>
  <c r="T46" i="6"/>
  <c r="P46" i="6"/>
  <c r="Q40" i="5"/>
  <c r="F40" i="5"/>
  <c r="V40" i="5" s="1"/>
  <c r="J46" i="5"/>
  <c r="U46" i="5" s="1"/>
  <c r="G47" i="5"/>
  <c r="J49" i="6"/>
  <c r="G50" i="6"/>
  <c r="J50" i="6" s="1"/>
  <c r="O47" i="6"/>
  <c r="U47" i="6"/>
  <c r="K50" i="6"/>
  <c r="B44" i="6"/>
  <c r="C41" i="6" l="1"/>
  <c r="G48" i="5"/>
  <c r="J47" i="5"/>
  <c r="L49" i="6"/>
  <c r="N49" i="6" s="1"/>
  <c r="E50" i="6"/>
  <c r="L50" i="6" s="1"/>
  <c r="N50" i="6" s="1"/>
  <c r="E49" i="5"/>
  <c r="L49" i="5" s="1"/>
  <c r="N49" i="5" s="1"/>
  <c r="L48" i="5"/>
  <c r="N48" i="5" s="1"/>
  <c r="Q44" i="6"/>
  <c r="B45" i="6" s="1"/>
  <c r="U48" i="6"/>
  <c r="O48" i="6"/>
  <c r="O47" i="5"/>
  <c r="U47" i="5"/>
  <c r="T47" i="6"/>
  <c r="P47" i="6"/>
  <c r="R40" i="5"/>
  <c r="C41" i="5" s="1"/>
  <c r="O46" i="5"/>
  <c r="B41" i="5"/>
  <c r="S40" i="5" l="1"/>
  <c r="D41" i="5" s="1"/>
  <c r="F41" i="5" s="1"/>
  <c r="V41" i="5" s="1"/>
  <c r="O50" i="6"/>
  <c r="U50" i="6"/>
  <c r="U49" i="6"/>
  <c r="O49" i="6"/>
  <c r="G49" i="5"/>
  <c r="J49" i="5" s="1"/>
  <c r="U49" i="5" s="1"/>
  <c r="J48" i="5"/>
  <c r="U48" i="5" s="1"/>
  <c r="Q45" i="6"/>
  <c r="B46" i="6" s="1"/>
  <c r="P47" i="5"/>
  <c r="T47" i="5"/>
  <c r="P48" i="6"/>
  <c r="T48" i="6"/>
  <c r="Q41" i="5"/>
  <c r="B42" i="5" s="1"/>
  <c r="P46" i="5"/>
  <c r="T46" i="5"/>
  <c r="F41" i="6"/>
  <c r="V41" i="6" s="1"/>
  <c r="R41" i="6"/>
  <c r="S41" i="6" s="1"/>
  <c r="D42" i="6" s="1"/>
  <c r="B53" i="5" l="1"/>
  <c r="Q46" i="6"/>
  <c r="B47" i="6" s="1"/>
  <c r="O49" i="5"/>
  <c r="T49" i="6"/>
  <c r="P49" i="6"/>
  <c r="C42" i="6"/>
  <c r="O48" i="5"/>
  <c r="Q42" i="5"/>
  <c r="R41" i="5"/>
  <c r="C42" i="5" s="1"/>
  <c r="B54" i="6"/>
  <c r="T50" i="6"/>
  <c r="P50" i="6"/>
  <c r="S41" i="5" l="1"/>
  <c r="D42" i="5" s="1"/>
  <c r="R42" i="5"/>
  <c r="C43" i="5" s="1"/>
  <c r="B43" i="5"/>
  <c r="P49" i="5"/>
  <c r="T49" i="5"/>
  <c r="Q47" i="6"/>
  <c r="B48" i="6" s="1"/>
  <c r="F42" i="5"/>
  <c r="V42" i="5" s="1"/>
  <c r="P48" i="5"/>
  <c r="T48" i="5"/>
  <c r="F42" i="6"/>
  <c r="V42" i="6" s="1"/>
  <c r="R42" i="6"/>
  <c r="S42" i="6" s="1"/>
  <c r="D43" i="6" s="1"/>
  <c r="Q48" i="6" l="1"/>
  <c r="B49" i="6" s="1"/>
  <c r="C43" i="6"/>
  <c r="Q43" i="5"/>
  <c r="B44" i="5" s="1"/>
  <c r="S42" i="5"/>
  <c r="D43" i="5" s="1"/>
  <c r="F43" i="5" s="1"/>
  <c r="V43" i="5" s="1"/>
  <c r="Q49" i="6" l="1"/>
  <c r="Q44" i="5"/>
  <c r="B45" i="5" s="1"/>
  <c r="R43" i="5"/>
  <c r="C44" i="5" s="1"/>
  <c r="F43" i="6"/>
  <c r="V43" i="6" s="1"/>
  <c r="R43" i="6"/>
  <c r="S43" i="6" s="1"/>
  <c r="D44" i="6" s="1"/>
  <c r="C44" i="6" l="1"/>
  <c r="F44" i="6"/>
  <c r="V44" i="6" s="1"/>
  <c r="R44" i="6"/>
  <c r="S44" i="6" s="1"/>
  <c r="D45" i="6" s="1"/>
  <c r="S43" i="5"/>
  <c r="D44" i="5" s="1"/>
  <c r="Q45" i="5"/>
  <c r="B46" i="5" s="1"/>
  <c r="R44" i="5"/>
  <c r="C45" i="5" s="1"/>
  <c r="B50" i="6"/>
  <c r="Q46" i="5" l="1"/>
  <c r="B47" i="5" s="1"/>
  <c r="R45" i="5"/>
  <c r="C46" i="5" s="1"/>
  <c r="Q50" i="6"/>
  <c r="S44" i="5"/>
  <c r="D45" i="5" s="1"/>
  <c r="C45" i="6"/>
  <c r="F44" i="5"/>
  <c r="V44" i="5" s="1"/>
  <c r="Q47" i="5" l="1"/>
  <c r="S45" i="5"/>
  <c r="D46" i="5" s="1"/>
  <c r="R46" i="5"/>
  <c r="C47" i="5" s="1"/>
  <c r="F45" i="6"/>
  <c r="V45" i="6" s="1"/>
  <c r="R45" i="6"/>
  <c r="S45" i="6" s="1"/>
  <c r="D46" i="6" s="1"/>
  <c r="F45" i="5"/>
  <c r="V45" i="5" s="1"/>
  <c r="F46" i="5" l="1"/>
  <c r="V46" i="5" s="1"/>
  <c r="S46" i="5"/>
  <c r="D47" i="5" s="1"/>
  <c r="R47" i="5"/>
  <c r="C48" i="5" s="1"/>
  <c r="B48" i="5"/>
  <c r="C46" i="6"/>
  <c r="F47" i="5" l="1"/>
  <c r="V47" i="5" s="1"/>
  <c r="F46" i="6"/>
  <c r="V46" i="6" s="1"/>
  <c r="R46" i="6"/>
  <c r="S46" i="6" s="1"/>
  <c r="D47" i="6" s="1"/>
  <c r="Q48" i="5"/>
  <c r="B49" i="5" s="1"/>
  <c r="S47" i="5"/>
  <c r="D48" i="5" s="1"/>
  <c r="F48" i="5" l="1"/>
  <c r="V48" i="5" s="1"/>
  <c r="Q49" i="5"/>
  <c r="R48" i="5"/>
  <c r="C49" i="5" s="1"/>
  <c r="C47" i="6"/>
  <c r="F47" i="6" l="1"/>
  <c r="V47" i="6" s="1"/>
  <c r="R47" i="6"/>
  <c r="S47" i="6" s="1"/>
  <c r="D48" i="6" s="1"/>
  <c r="S48" i="5"/>
  <c r="D49" i="5" s="1"/>
  <c r="F49" i="5" s="1"/>
  <c r="R49" i="5"/>
  <c r="S49" i="5" s="1"/>
  <c r="B52" i="5" l="1"/>
  <c r="V49" i="5"/>
  <c r="B55" i="5" s="1"/>
  <c r="B54" i="5"/>
  <c r="C48" i="6"/>
  <c r="F48" i="6" l="1"/>
  <c r="V48" i="6" s="1"/>
  <c r="R48" i="6"/>
  <c r="S48" i="6" s="1"/>
  <c r="D49" i="6" s="1"/>
  <c r="C49" i="6" l="1"/>
  <c r="F49" i="6" l="1"/>
  <c r="V49" i="6" s="1"/>
  <c r="R49" i="6"/>
  <c r="S49" i="6" s="1"/>
  <c r="D50" i="6" s="1"/>
  <c r="C50" i="6" l="1"/>
  <c r="F50" i="6" l="1"/>
  <c r="R50" i="6"/>
  <c r="S50" i="6" s="1"/>
  <c r="B55" i="6" l="1"/>
  <c r="B53" i="6"/>
  <c r="V50" i="6"/>
  <c r="B57" i="6" s="1"/>
</calcChain>
</file>

<file path=xl/sharedStrings.xml><?xml version="1.0" encoding="utf-8"?>
<sst xmlns="http://schemas.openxmlformats.org/spreadsheetml/2006/main" count="323" uniqueCount="212">
  <si>
    <t>salaryfree — Calculator Verification Workbook</t>
  </si>
  <si>
    <t>PURPOSE</t>
  </si>
  <si>
    <t>This workbook replicates the app's Quick and Standard tier financial calculations using</t>
  </si>
  <si>
    <t>Excel formulae. Enter inputs (yellow cells) and compare outputs to the app.</t>
  </si>
  <si>
    <t>SHEETS</t>
  </si>
  <si>
    <t>Rates         — Shared return / inflation constants (edit here to test scenarios)</t>
  </si>
  <si>
    <t>FOUNDER_Quick — Quick tier: runway &amp; target number (Founder scenario)</t>
  </si>
  <si>
    <t>RETIRE_Quick  — Quick tier: corpus gap &amp; monthly savings (Retirement scenario)</t>
  </si>
  <si>
    <t>FOUNDER_Std   — Standard tier: 20-year projection (Founder scenario)</t>
  </si>
  <si>
    <t>RETIRE_Std    — Standard tier: 20-year projection (Retirement scenario)</t>
  </si>
  <si>
    <t>COLOUR CODE</t>
  </si>
  <si>
    <t>Yellow  → Input fields (edit these)</t>
  </si>
  <si>
    <t>Blue    → Computed fields (formulae, do not edit)</t>
  </si>
  <si>
    <t>Green   → Rate/constant fields (edit in Rates sheet)</t>
  </si>
  <si>
    <t>KEY FORMULAS</t>
  </si>
  <si>
    <t>monthly_survival (needs)  = monthly_expenses × Needs%  (default 60%)</t>
  </si>
  <si>
    <t>emergency_lock            = monthly_survival × emergency_months</t>
  </si>
  <si>
    <t>available_cash            = total_assets − emergency_lock − one_time_expenses</t>
  </si>
  <si>
    <t>austerity_runway (months) = available_cash ÷ (monthly_survival − monthly_passive)</t>
  </si>
  <si>
    <t>comfort_runway  (months)  = available_cash ÷ (monthly_expenses − monthly_passive)</t>
  </si>
  <si>
    <t>target_number (25×rule)   = monthly_survival × 12 × 25  (= 4% SWR corpus)</t>
  </si>
  <si>
    <t>required_corpus           = monthly_expenses × 12 × 25  (retirement)</t>
  </si>
  <si>
    <t>PROJECTION LOGIC (Standard tier)</t>
  </si>
  <si>
    <t>• Each year: income = passive + rental(property×3%) + scenario_income</t>
  </si>
  <si>
    <t>• Deficit drawn: liquid first → semi-liquid → growth assets</t>
  </si>
  <si>
    <t>• Surplus added to growth assets</t>
  </si>
  <si>
    <t>• Asset growth: Liquid×6%  Semi×8%  Growth×12%  Property×5%</t>
  </si>
  <si>
    <t>• Inflation:    Needs×6%   Wants×7%  Passive income×4%</t>
  </si>
  <si>
    <t>• free_up_year = first year where total_income &gt;= total_expenses</t>
  </si>
  <si>
    <t>• sustainable  = final_corpus &gt; annual_survival × 5</t>
  </si>
  <si>
    <t>Rate / Constant Inputs  (green = default from app)</t>
  </si>
  <si>
    <t>Parameter</t>
  </si>
  <si>
    <t>Value (edit)</t>
  </si>
  <si>
    <t>Notes</t>
  </si>
  <si>
    <t>Liquid Return</t>
  </si>
  <si>
    <t>FD / savings accounts, liquid MFs</t>
  </si>
  <si>
    <t>Semi-liquid Return</t>
  </si>
  <si>
    <t>Short-term debt MFs, bonds</t>
  </si>
  <si>
    <t>Growth Return</t>
  </si>
  <si>
    <t>Equity MFs, stocks</t>
  </si>
  <si>
    <t>Property Appreciation</t>
  </si>
  <si>
    <t>Real estate capital appreciation</t>
  </si>
  <si>
    <t>Property Rental Yield</t>
  </si>
  <si>
    <t>Gross rental / property value</t>
  </si>
  <si>
    <t>Needs Inflation</t>
  </si>
  <si>
    <t>Essential expenses inflation</t>
  </si>
  <si>
    <t>Wants Inflation</t>
  </si>
  <si>
    <t>Lifestyle expenses inflation</t>
  </si>
  <si>
    <t>Passive Income Growth</t>
  </si>
  <si>
    <t>Dividend / rental income growth</t>
  </si>
  <si>
    <t>SWR Rate</t>
  </si>
  <si>
    <t>Safe Withdrawal Rate (4% rule)</t>
  </si>
  <si>
    <t>Pension Inflation</t>
  </si>
  <si>
    <t>Pension increase per year</t>
  </si>
  <si>
    <t>Needs % of Expenses</t>
  </si>
  <si>
    <t>Default 60% of monthly expenses</t>
  </si>
  <si>
    <t>Wants % of Expenses</t>
  </si>
  <si>
    <t>Default 40% of monthly expenses</t>
  </si>
  <si>
    <t>FOUNDER — Quick Tier Inputs</t>
  </si>
  <si>
    <t>Input</t>
  </si>
  <si>
    <t>Value (₹ or months)</t>
  </si>
  <si>
    <t>Monthly Expenses (total)</t>
  </si>
  <si>
    <t>Total household monthly spend</t>
  </si>
  <si>
    <t>From Rates sheet</t>
  </si>
  <si>
    <t>Living Assets (liquid+semi)</t>
  </si>
  <si>
    <t>Liquid + semi-liquid assets</t>
  </si>
  <si>
    <t>Security Assets (growth+property)</t>
  </si>
  <si>
    <t>Growth + property assets</t>
  </si>
  <si>
    <t>Monthly Passive Income</t>
  </si>
  <si>
    <t>Rent, dividends, etc.</t>
  </si>
  <si>
    <t>Emergency Fund Months</t>
  </si>
  <si>
    <t>Months of needs to lock away</t>
  </si>
  <si>
    <t>Bootstrap Capital</t>
  </si>
  <si>
    <t>Capital committed to venture</t>
  </si>
  <si>
    <t>One-time Expenses</t>
  </si>
  <si>
    <t>Moving costs, equipment, etc.</t>
  </si>
  <si>
    <t>Computed Outputs (match against app)</t>
  </si>
  <si>
    <t>Output</t>
  </si>
  <si>
    <t>Value</t>
  </si>
  <si>
    <t>Formula / Logic</t>
  </si>
  <si>
    <t>Monthly Survival (Needs)</t>
  </si>
  <si>
    <t>monthly_expenses × needs%</t>
  </si>
  <si>
    <t>Monthly Lifestyle (Wants)</t>
  </si>
  <si>
    <t>monthly_expenses × wants%</t>
  </si>
  <si>
    <t>Total Assets</t>
  </si>
  <si>
    <t>living_assets + security_assets</t>
  </si>
  <si>
    <t>Emergency Fund Lock</t>
  </si>
  <si>
    <t>monthly_survival × emergency_months</t>
  </si>
  <si>
    <t>Available Cash</t>
  </si>
  <si>
    <t>total_assets − lock − bootstrap − one_time</t>
  </si>
  <si>
    <t>Net Austerity Burn/mo</t>
  </si>
  <si>
    <t>monthly_survival − monthly_passive</t>
  </si>
  <si>
    <t>Net Comfort Burn/mo</t>
  </si>
  <si>
    <t>monthly_expenses − monthly_passive</t>
  </si>
  <si>
    <t>Austerity Runway (months)</t>
  </si>
  <si>
    <t>available_cash ÷ net_austerity_burn</t>
  </si>
  <si>
    <t>Comfort Runway (months)</t>
  </si>
  <si>
    <t>available_cash ÷ net_comfort_burn</t>
  </si>
  <si>
    <t>Austerity Runway (years)</t>
  </si>
  <si>
    <t>months ÷ 12</t>
  </si>
  <si>
    <t>Comfort Runway (years)</t>
  </si>
  <si>
    <t>Target Number (25× rule)</t>
  </si>
  <si>
    <t>monthly_survival × 12 × 25  (4% SWR corpus)</t>
  </si>
  <si>
    <t>Target Gap</t>
  </si>
  <si>
    <t>max(0, target − total_assets)</t>
  </si>
  <si>
    <t>How to use</t>
  </si>
  <si>
    <t>1. Fill yellow cells with your inputs.
2. Compare 'Computed Outputs' to the app's Quick-tier results screen.
3. Discrepancies &gt; ₹1 indicate a bug in either the app or this sheet.</t>
  </si>
  <si>
    <t>RETIREMENT — Quick Tier Inputs</t>
  </si>
  <si>
    <t>Current Age</t>
  </si>
  <si>
    <t>years</t>
  </si>
  <si>
    <t>Retirement Age</t>
  </si>
  <si>
    <t>Life Expectancy</t>
  </si>
  <si>
    <t>₹/month</t>
  </si>
  <si>
    <t>Living Assets</t>
  </si>
  <si>
    <t>₹</t>
  </si>
  <si>
    <t>Security Assets</t>
  </si>
  <si>
    <t>months</t>
  </si>
  <si>
    <t>Computed Outputs</t>
  </si>
  <si>
    <t>Years to Retirement</t>
  </si>
  <si>
    <t>retirement_age − current_age</t>
  </si>
  <si>
    <t>Retirement Duration (yrs)</t>
  </si>
  <si>
    <t>life_expectancy − retirement_age</t>
  </si>
  <si>
    <t>living + security</t>
  </si>
  <si>
    <t>total_assets − lock − one_time</t>
  </si>
  <si>
    <t>Required Corpus (25× rule)</t>
  </si>
  <si>
    <t>monthly_expenses × 12 × 25</t>
  </si>
  <si>
    <t>Current Corpus</t>
  </si>
  <si>
    <t>total_assets</t>
  </si>
  <si>
    <t>Corpus Gap</t>
  </si>
  <si>
    <t>max(0, required − current)</t>
  </si>
  <si>
    <t>Months to Retirement</t>
  </si>
  <si>
    <t>years × 12</t>
  </si>
  <si>
    <t>Monthly Savings Needed</t>
  </si>
  <si>
    <t>Simple: gap ÷ months_remaining</t>
  </si>
  <si>
    <t>Annual Passive Income</t>
  </si>
  <si>
    <t>monthly_passive × 12</t>
  </si>
  <si>
    <t>Annual Expenses</t>
  </si>
  <si>
    <t>monthly_expenses × 12</t>
  </si>
  <si>
    <t>Passive Coverage %</t>
  </si>
  <si>
    <t>passive_income ÷ annual_expenses</t>
  </si>
  <si>
    <t>Can Retire Now?</t>
  </si>
  <si>
    <t>current_corpus &gt;= required OR passive &gt;= annual_expenses</t>
  </si>
  <si>
    <t>FOUNDER — Standard Tier: 20-Year Projection</t>
  </si>
  <si>
    <t>Liquid Savings</t>
  </si>
  <si>
    <t>FD, savings accounts, liquid MFs</t>
  </si>
  <si>
    <t>Semi-liquid Savings</t>
  </si>
  <si>
    <t>Growth Assets</t>
  </si>
  <si>
    <t>Equity MFs, direct stocks</t>
  </si>
  <si>
    <t>Property Value</t>
  </si>
  <si>
    <t>Residential / commercial property</t>
  </si>
  <si>
    <t>Dividends, rent, royalties</t>
  </si>
  <si>
    <t>months of needs locked</t>
  </si>
  <si>
    <t>Capital committed to venture upfront</t>
  </si>
  <si>
    <t>Upfront setup costs</t>
  </si>
  <si>
    <t>Founder Salary (monthly)</t>
  </si>
  <si>
    <t>Salary drawn from venture once live</t>
  </si>
  <si>
    <t>Salary Start Month</t>
  </si>
  <si>
    <t>Month offset (0=immediately, 12=after 1yr)</t>
  </si>
  <si>
    <t>Derived Inputs (from Rates sheet)</t>
  </si>
  <si>
    <t>Needs % / Wants %</t>
  </si>
  <si>
    <t>60% / 40% of monthly expenses (edit in Rates)</t>
  </si>
  <si>
    <t>Emergency Lock</t>
  </si>
  <si>
    <t>Proj. Liquid (start)</t>
  </si>
  <si>
    <t>liquid − min(liquid, lock+bootstrap+one_time)</t>
  </si>
  <si>
    <t>Proj. Semi (start)</t>
  </si>
  <si>
    <t>semi − overflow of deductions after liquid exhausted</t>
  </si>
  <si>
    <t>Target Number (25×)</t>
  </si>
  <si>
    <t>Salary Start Year</t>
  </si>
  <si>
    <t>salary_start_month ÷ 12 (truncated)</t>
  </si>
  <si>
    <t>Year</t>
  </si>
  <si>
    <t>Liquid (start)</t>
  </si>
  <si>
    <t>Semi (start)</t>
  </si>
  <si>
    <t>Growth (start)</t>
  </si>
  <si>
    <t>Property (start)</t>
  </si>
  <si>
    <t>Annual Needs</t>
  </si>
  <si>
    <t>Annual Wants</t>
  </si>
  <si>
    <t>One-time</t>
  </si>
  <si>
    <t>Total Expenses</t>
  </si>
  <si>
    <t>Passive Income</t>
  </si>
  <si>
    <t>Rental Income</t>
  </si>
  <si>
    <t>Scenario Income</t>
  </si>
  <si>
    <t>Total Income</t>
  </si>
  <si>
    <t>Net Cashflow</t>
  </si>
  <si>
    <t>Deficit</t>
  </si>
  <si>
    <t>Draw Liquid</t>
  </si>
  <si>
    <t>Draw Semi</t>
  </si>
  <si>
    <t>Draw Growth</t>
  </si>
  <si>
    <t>Surplus→Growth</t>
  </si>
  <si>
    <t>Free-up?</t>
  </si>
  <si>
    <t>Depleted?</t>
  </si>
  <si>
    <t>Summary</t>
  </si>
  <si>
    <t>Final Corpus (Year 20)</t>
  </si>
  <si>
    <t>Free-up Year</t>
  </si>
  <si>
    <t>Sustainable (final &gt; 5× annual needs)</t>
  </si>
  <si>
    <t>Depletion Year</t>
  </si>
  <si>
    <t>RETIREMENT — Standard Tier: 20-Year Projection</t>
  </si>
  <si>
    <t>FD, savings, liquid MFs</t>
  </si>
  <si>
    <t>Debt MFs, bonds</t>
  </si>
  <si>
    <t>Residential / commercial</t>
  </si>
  <si>
    <t>Large upfront costs</t>
  </si>
  <si>
    <t>Pension Monthly</t>
  </si>
  <si>
    <t>Pension/annuity once it begins</t>
  </si>
  <si>
    <t>Pension Start Age</t>
  </si>
  <si>
    <t>Age at which pension begins</t>
  </si>
  <si>
    <t>Gratuity Lumpsum</t>
  </si>
  <si>
    <t>One-time injection at retirement</t>
  </si>
  <si>
    <t>Derived Inputs</t>
  </si>
  <si>
    <t>Required Corpus (25×)</t>
  </si>
  <si>
    <t>Pension Start Year (offset)</t>
  </si>
  <si>
    <t>pension_start_age − current_age</t>
  </si>
  <si>
    <t>Retirement Year (offset)</t>
  </si>
  <si>
    <t>Corpus Gap (25× rule)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</si>
</sst>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#,##0;[Red]\-#,##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name val="Calibri"/>
    </font>
    <font>
      <sz val="10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E8F4FF"/>
      </patternFill>
    </fill>
    <fill>
      <patternFill patternType="solid">
        <fgColor rgb="FFFFEBEE"/>
      </patternFill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F0F4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10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9" fontId="5" fillId="3" borderId="1" xfId="0" applyNumberFormat="1" applyFont="1" applyFill="1" applyBorder="1"/>
    <xf numFmtId="1" fontId="2" fillId="4" borderId="1" xfId="0" applyNumberFormat="1" applyFont="1" applyFill="1" applyBorder="1" applyAlignment="1">
      <alignment horizontal="left" vertical="center" wrapText="1"/>
    </xf>
    <xf numFmtId="4" fontId="5" fillId="5" borderId="1" xfId="0" applyNumberFormat="1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/>
    <xf numFmtId="49" fontId="5" fillId="5" borderId="1" xfId="0" applyNumberFormat="1" applyFont="1" applyFill="1" applyBorder="1"/>
    <xf numFmtId="49" fontId="2" fillId="5" borderId="1" xfId="0" applyNumberFormat="1" applyFont="1" applyFill="1" applyBorder="1" applyAlignment="1">
      <alignment horizontal="left" vertical="center" wrapText="1"/>
    </xf>
    <xf numFmtId="4" fontId="2" fillId="5" borderId="1" xfId="0" applyNumberFormat="1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3" fontId="8" fillId="9" borderId="1" xfId="0" applyNumberFormat="1" applyFont="1" applyFill="1" applyBorder="1" applyAlignment="1">
      <alignment horizontal="right"/>
    </xf>
    <xf numFmtId="166" fontId="8" fillId="9" borderId="1" xfId="0" applyNumberFormat="1" applyFont="1" applyFill="1" applyBorder="1" applyAlignment="1">
      <alignment horizontal="right"/>
    </xf>
    <xf numFmtId="49" fontId="8" fillId="9" borderId="1" xfId="0" applyNumberFormat="1" applyFont="1" applyFill="1" applyBorder="1" applyAlignment="1">
      <alignment horizontal="right"/>
    </xf>
    <xf numFmtId="3" fontId="8" fillId="10" borderId="1" xfId="0" applyNumberFormat="1" applyFont="1" applyFill="1" applyBorder="1" applyAlignment="1">
      <alignment horizontal="right"/>
    </xf>
    <xf numFmtId="166" fontId="8" fillId="10" borderId="1" xfId="0" applyNumberFormat="1" applyFont="1" applyFill="1" applyBorder="1" applyAlignment="1">
      <alignment horizontal="right"/>
    </xf>
    <xf numFmtId="49" fontId="8" fillId="10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80" customWidth="1"/>
  </cols>
  <sheetData>
    <row r="1" spans="1:6" ht="20" customHeight="1" x14ac:dyDescent="0.2">
      <c r="A1" s="29" t="s">
        <v>0</v>
      </c>
      <c r="B1" s="30"/>
      <c r="C1" s="30"/>
      <c r="D1" s="30"/>
      <c r="E1" s="30"/>
      <c r="F1" s="30"/>
    </row>
    <row r="2" spans="1:6" x14ac:dyDescent="0.2">
      <c r="A2" s="1"/>
    </row>
    <row r="3" spans="1:6" x14ac:dyDescent="0.2">
      <c r="A3" s="2" t="s">
        <v>1</v>
      </c>
    </row>
    <row r="4" spans="1:6" x14ac:dyDescent="0.2">
      <c r="A4" s="1" t="s">
        <v>2</v>
      </c>
    </row>
    <row r="5" spans="1:6" x14ac:dyDescent="0.2">
      <c r="A5" s="1" t="s">
        <v>3</v>
      </c>
    </row>
    <row r="6" spans="1:6" x14ac:dyDescent="0.2">
      <c r="A6" s="1"/>
    </row>
    <row r="7" spans="1:6" x14ac:dyDescent="0.2">
      <c r="A7" s="2" t="s">
        <v>4</v>
      </c>
    </row>
    <row r="8" spans="1:6" x14ac:dyDescent="0.2">
      <c r="A8" s="1" t="s">
        <v>5</v>
      </c>
    </row>
    <row r="9" spans="1:6" x14ac:dyDescent="0.2">
      <c r="A9" s="1" t="s">
        <v>6</v>
      </c>
    </row>
    <row r="10" spans="1:6" x14ac:dyDescent="0.2">
      <c r="A10" s="1" t="s">
        <v>7</v>
      </c>
    </row>
    <row r="11" spans="1:6" x14ac:dyDescent="0.2">
      <c r="A11" s="1" t="s">
        <v>8</v>
      </c>
    </row>
    <row r="12" spans="1:6" x14ac:dyDescent="0.2">
      <c r="A12" s="1" t="s">
        <v>9</v>
      </c>
    </row>
    <row r="13" spans="1:6" x14ac:dyDescent="0.2">
      <c r="A13" s="1"/>
    </row>
    <row r="14" spans="1:6" x14ac:dyDescent="0.2">
      <c r="A14" s="2" t="s">
        <v>10</v>
      </c>
    </row>
    <row r="15" spans="1:6" x14ac:dyDescent="0.2">
      <c r="A15" s="3" t="s">
        <v>11</v>
      </c>
    </row>
    <row r="16" spans="1:6" x14ac:dyDescent="0.2">
      <c r="A16" s="4" t="s">
        <v>12</v>
      </c>
    </row>
    <row r="17" spans="1:1" x14ac:dyDescent="0.2">
      <c r="A17" s="5" t="s">
        <v>13</v>
      </c>
    </row>
    <row r="18" spans="1:1" x14ac:dyDescent="0.2">
      <c r="A18" s="1"/>
    </row>
    <row r="19" spans="1:1" x14ac:dyDescent="0.2">
      <c r="A19" s="2" t="s">
        <v>14</v>
      </c>
    </row>
    <row r="20" spans="1:1" x14ac:dyDescent="0.2">
      <c r="A20" s="1" t="s">
        <v>15</v>
      </c>
    </row>
    <row r="21" spans="1:1" x14ac:dyDescent="0.2">
      <c r="A21" s="1" t="s">
        <v>16</v>
      </c>
    </row>
    <row r="22" spans="1:1" x14ac:dyDescent="0.2">
      <c r="A22" s="1" t="s">
        <v>17</v>
      </c>
    </row>
    <row r="23" spans="1:1" x14ac:dyDescent="0.2">
      <c r="A23" s="1" t="s">
        <v>18</v>
      </c>
    </row>
    <row r="24" spans="1:1" x14ac:dyDescent="0.2">
      <c r="A24" s="1" t="s">
        <v>19</v>
      </c>
    </row>
    <row r="25" spans="1:1" x14ac:dyDescent="0.2">
      <c r="A25" s="1" t="s">
        <v>20</v>
      </c>
    </row>
    <row r="26" spans="1:1" x14ac:dyDescent="0.2">
      <c r="A26" s="1" t="s">
        <v>21</v>
      </c>
    </row>
    <row r="27" spans="1:1" x14ac:dyDescent="0.2">
      <c r="A27" s="1"/>
    </row>
    <row r="28" spans="1:1" x14ac:dyDescent="0.2">
      <c r="A28" s="2" t="s">
        <v>22</v>
      </c>
    </row>
    <row r="29" spans="1:1" x14ac:dyDescent="0.2">
      <c r="A29" s="1" t="s">
        <v>23</v>
      </c>
    </row>
    <row r="30" spans="1:1" x14ac:dyDescent="0.2">
      <c r="A30" s="1" t="s">
        <v>24</v>
      </c>
    </row>
    <row r="31" spans="1:1" x14ac:dyDescent="0.2">
      <c r="A31" s="1" t="s">
        <v>25</v>
      </c>
    </row>
    <row r="32" spans="1:1" x14ac:dyDescent="0.2">
      <c r="A32" s="1" t="s">
        <v>26</v>
      </c>
    </row>
    <row r="33" spans="1:1" x14ac:dyDescent="0.2">
      <c r="A33" s="1" t="s">
        <v>27</v>
      </c>
    </row>
    <row r="34" spans="1:1" x14ac:dyDescent="0.2">
      <c r="A34" s="1" t="s">
        <v>28</v>
      </c>
    </row>
    <row r="35" spans="1:1" x14ac:dyDescent="0.2">
      <c r="A35" s="1" t="s">
        <v>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showGridLines="0" workbookViewId="0">
      <selection activeCell="B6" sqref="B6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3" width="40" customWidth="1"/>
  </cols>
  <sheetData>
    <row r="1" spans="1:3" x14ac:dyDescent="0.2">
      <c r="A1" s="31" t="s">
        <v>30</v>
      </c>
      <c r="B1" s="32"/>
      <c r="C1" s="33"/>
    </row>
    <row r="2" spans="1:3" x14ac:dyDescent="0.2">
      <c r="A2" s="6" t="s">
        <v>31</v>
      </c>
      <c r="B2" s="6" t="s">
        <v>32</v>
      </c>
      <c r="C2" s="6" t="s">
        <v>33</v>
      </c>
    </row>
    <row r="3" spans="1:3" x14ac:dyDescent="0.2">
      <c r="A3" s="7" t="s">
        <v>34</v>
      </c>
      <c r="B3" s="8">
        <v>0.05</v>
      </c>
      <c r="C3" s="9" t="s">
        <v>35</v>
      </c>
    </row>
    <row r="4" spans="1:3" x14ac:dyDescent="0.2">
      <c r="A4" s="7" t="s">
        <v>36</v>
      </c>
      <c r="B4" s="8">
        <v>0.08</v>
      </c>
      <c r="C4" s="9" t="s">
        <v>37</v>
      </c>
    </row>
    <row r="5" spans="1:3" x14ac:dyDescent="0.2">
      <c r="A5" s="7" t="s">
        <v>38</v>
      </c>
      <c r="B5" s="8">
        <v>0.1</v>
      </c>
      <c r="C5" s="9" t="s">
        <v>39</v>
      </c>
    </row>
    <row r="6" spans="1:3" x14ac:dyDescent="0.2">
      <c r="A6" s="7" t="s">
        <v>40</v>
      </c>
      <c r="B6" s="8">
        <v>0.04</v>
      </c>
      <c r="C6" s="9" t="s">
        <v>41</v>
      </c>
    </row>
    <row r="7" spans="1:3" x14ac:dyDescent="0.2">
      <c r="A7" s="7" t="s">
        <v>42</v>
      </c>
      <c r="B7" s="8">
        <v>0.02</v>
      </c>
      <c r="C7" s="9" t="s">
        <v>43</v>
      </c>
    </row>
    <row r="8" spans="1:3" x14ac:dyDescent="0.2">
      <c r="A8" s="7" t="s">
        <v>44</v>
      </c>
      <c r="B8" s="8">
        <v>0.06</v>
      </c>
      <c r="C8" s="9" t="s">
        <v>45</v>
      </c>
    </row>
    <row r="9" spans="1:3" x14ac:dyDescent="0.2">
      <c r="A9" s="7" t="s">
        <v>46</v>
      </c>
      <c r="B9" s="8">
        <v>7.0000000000000007E-2</v>
      </c>
      <c r="C9" s="9" t="s">
        <v>47</v>
      </c>
    </row>
    <row r="10" spans="1:3" x14ac:dyDescent="0.2">
      <c r="A10" s="7" t="s">
        <v>48</v>
      </c>
      <c r="B10" s="8">
        <v>0.04</v>
      </c>
      <c r="C10" s="9" t="s">
        <v>49</v>
      </c>
    </row>
    <row r="11" spans="1:3" x14ac:dyDescent="0.2">
      <c r="A11" s="7" t="s">
        <v>50</v>
      </c>
      <c r="B11" s="8">
        <v>0.04</v>
      </c>
      <c r="C11" s="9" t="s">
        <v>51</v>
      </c>
    </row>
    <row r="12" spans="1:3" x14ac:dyDescent="0.2">
      <c r="A12" s="7" t="s">
        <v>52</v>
      </c>
      <c r="B12" s="8">
        <v>0.04</v>
      </c>
      <c r="C12" s="9" t="s">
        <v>53</v>
      </c>
    </row>
    <row r="13" spans="1:3" x14ac:dyDescent="0.2">
      <c r="A13" s="7" t="s">
        <v>54</v>
      </c>
      <c r="B13" s="8">
        <v>0.6</v>
      </c>
      <c r="C13" s="9" t="s">
        <v>55</v>
      </c>
    </row>
    <row r="14" spans="1:3" x14ac:dyDescent="0.2">
      <c r="A14" s="7" t="s">
        <v>56</v>
      </c>
      <c r="B14" s="8">
        <v>0.4</v>
      </c>
      <c r="C14" s="9" t="s">
        <v>57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showGridLines="0" tabSelected="1" workbookViewId="0">
      <selection activeCell="B7" sqref="B7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34" customWidth="1"/>
    <col min="4" max="4" width="18" customWidth="1"/>
  </cols>
  <sheetData>
    <row r="1" spans="1:4" x14ac:dyDescent="0.2">
      <c r="A1" s="31" t="s">
        <v>58</v>
      </c>
      <c r="B1" s="32"/>
      <c r="C1" s="32"/>
      <c r="D1" s="33"/>
    </row>
    <row r="2" spans="1:4" x14ac:dyDescent="0.2">
      <c r="A2" s="7" t="s">
        <v>59</v>
      </c>
      <c r="B2" s="7" t="s">
        <v>60</v>
      </c>
      <c r="C2" s="7" t="s">
        <v>33</v>
      </c>
    </row>
    <row r="3" spans="1:4" x14ac:dyDescent="0.2">
      <c r="A3" s="7" t="s">
        <v>61</v>
      </c>
      <c r="B3" s="10">
        <v>250000</v>
      </c>
      <c r="C3" s="7" t="s">
        <v>62</v>
      </c>
    </row>
    <row r="4" spans="1:4" x14ac:dyDescent="0.2">
      <c r="A4" s="7" t="s">
        <v>54</v>
      </c>
      <c r="B4" s="11">
        <f>Rates!$B$13</f>
        <v>0.6</v>
      </c>
      <c r="C4" s="7" t="s">
        <v>63</v>
      </c>
    </row>
    <row r="5" spans="1:4" x14ac:dyDescent="0.2">
      <c r="A5" s="7" t="s">
        <v>56</v>
      </c>
      <c r="B5" s="11">
        <f>Rates!$B$14</f>
        <v>0.4</v>
      </c>
      <c r="C5" s="7" t="s">
        <v>63</v>
      </c>
    </row>
    <row r="6" spans="1:4" x14ac:dyDescent="0.2">
      <c r="A6" s="7" t="s">
        <v>64</v>
      </c>
      <c r="B6" s="10">
        <v>2000000</v>
      </c>
      <c r="C6" s="7" t="s">
        <v>65</v>
      </c>
    </row>
    <row r="7" spans="1:4" x14ac:dyDescent="0.2">
      <c r="A7" s="7" t="s">
        <v>66</v>
      </c>
      <c r="B7" s="10">
        <v>10000000</v>
      </c>
      <c r="C7" s="7" t="s">
        <v>67</v>
      </c>
    </row>
    <row r="8" spans="1:4" x14ac:dyDescent="0.2">
      <c r="A8" s="7" t="s">
        <v>68</v>
      </c>
      <c r="B8" s="12">
        <v>0</v>
      </c>
      <c r="C8" s="7" t="s">
        <v>69</v>
      </c>
    </row>
    <row r="9" spans="1:4" x14ac:dyDescent="0.2">
      <c r="A9" s="7" t="s">
        <v>70</v>
      </c>
      <c r="B9" s="12">
        <v>6</v>
      </c>
      <c r="C9" s="7" t="s">
        <v>71</v>
      </c>
    </row>
    <row r="10" spans="1:4" x14ac:dyDescent="0.2">
      <c r="A10" s="7" t="s">
        <v>72</v>
      </c>
      <c r="B10" s="12">
        <v>0</v>
      </c>
      <c r="C10" s="7" t="s">
        <v>73</v>
      </c>
    </row>
    <row r="11" spans="1:4" x14ac:dyDescent="0.2">
      <c r="A11" s="7" t="s">
        <v>74</v>
      </c>
      <c r="B11" s="12">
        <v>0</v>
      </c>
      <c r="C11" s="7" t="s">
        <v>75</v>
      </c>
    </row>
    <row r="13" spans="1:4" x14ac:dyDescent="0.2">
      <c r="A13" s="31" t="s">
        <v>76</v>
      </c>
      <c r="B13" s="32"/>
      <c r="C13" s="32"/>
      <c r="D13" s="33"/>
    </row>
    <row r="14" spans="1:4" x14ac:dyDescent="0.2">
      <c r="A14" s="7" t="s">
        <v>77</v>
      </c>
      <c r="B14" s="7" t="s">
        <v>78</v>
      </c>
      <c r="C14" s="7" t="s">
        <v>79</v>
      </c>
    </row>
    <row r="15" spans="1:4" x14ac:dyDescent="0.2">
      <c r="A15" s="7" t="s">
        <v>80</v>
      </c>
      <c r="B15" s="13">
        <f>B3*B4</f>
        <v>150000</v>
      </c>
      <c r="C15" s="7" t="s">
        <v>81</v>
      </c>
    </row>
    <row r="16" spans="1:4" x14ac:dyDescent="0.2">
      <c r="A16" s="7" t="s">
        <v>82</v>
      </c>
      <c r="B16" s="13">
        <f>B3*B5</f>
        <v>100000</v>
      </c>
      <c r="C16" s="7" t="s">
        <v>83</v>
      </c>
    </row>
    <row r="17" spans="1:4" x14ac:dyDescent="0.2">
      <c r="A17" s="7" t="s">
        <v>84</v>
      </c>
      <c r="B17" s="13">
        <f>B6+B7</f>
        <v>12000000</v>
      </c>
      <c r="C17" s="7" t="s">
        <v>85</v>
      </c>
    </row>
    <row r="18" spans="1:4" x14ac:dyDescent="0.2">
      <c r="A18" s="7" t="s">
        <v>86</v>
      </c>
      <c r="B18" s="13">
        <f>B15*B9</f>
        <v>900000</v>
      </c>
      <c r="C18" s="7" t="s">
        <v>87</v>
      </c>
    </row>
    <row r="19" spans="1:4" x14ac:dyDescent="0.2">
      <c r="A19" s="7" t="s">
        <v>88</v>
      </c>
      <c r="B19" s="13">
        <f>MAX(0,B17-B18-B10-B11)</f>
        <v>11100000</v>
      </c>
      <c r="C19" s="7" t="s">
        <v>89</v>
      </c>
    </row>
    <row r="20" spans="1:4" x14ac:dyDescent="0.2">
      <c r="A20" s="7" t="s">
        <v>90</v>
      </c>
      <c r="B20" s="13">
        <f>MAX(0,B15-B8)</f>
        <v>150000</v>
      </c>
      <c r="C20" s="7" t="s">
        <v>91</v>
      </c>
    </row>
    <row r="21" spans="1:4" x14ac:dyDescent="0.2">
      <c r="A21" s="7" t="s">
        <v>92</v>
      </c>
      <c r="B21" s="13">
        <f>MAX(0,B3-B8)</f>
        <v>250000</v>
      </c>
      <c r="C21" s="7" t="s">
        <v>93</v>
      </c>
    </row>
    <row r="22" spans="1:4" x14ac:dyDescent="0.2">
      <c r="A22" s="7" t="s">
        <v>94</v>
      </c>
      <c r="B22" s="14">
        <f>IF(B20&gt;0,B19/B20,"∞")</f>
        <v>74</v>
      </c>
      <c r="C22" s="7" t="s">
        <v>95</v>
      </c>
    </row>
    <row r="23" spans="1:4" x14ac:dyDescent="0.2">
      <c r="A23" s="7" t="s">
        <v>96</v>
      </c>
      <c r="B23" s="14">
        <f>IF(B21&gt;0,B19/B21,"∞")</f>
        <v>44.4</v>
      </c>
      <c r="C23" s="7" t="s">
        <v>97</v>
      </c>
    </row>
    <row r="24" spans="1:4" x14ac:dyDescent="0.2">
      <c r="A24" s="7" t="s">
        <v>98</v>
      </c>
      <c r="B24" s="14">
        <f>IF(ISNUMBER(B22),B22/12,"∞")</f>
        <v>6.166666666666667</v>
      </c>
      <c r="C24" s="7" t="s">
        <v>99</v>
      </c>
    </row>
    <row r="25" spans="1:4" x14ac:dyDescent="0.2">
      <c r="A25" s="7" t="s">
        <v>100</v>
      </c>
      <c r="B25" s="14">
        <f>IF(ISNUMBER(B23),B23/12,"∞")</f>
        <v>3.6999999999999997</v>
      </c>
      <c r="C25" s="7" t="s">
        <v>99</v>
      </c>
    </row>
    <row r="26" spans="1:4" x14ac:dyDescent="0.2">
      <c r="A26" s="7" t="s">
        <v>101</v>
      </c>
      <c r="B26" s="13">
        <f>B15*12*25</f>
        <v>45000000</v>
      </c>
      <c r="C26" s="7" t="s">
        <v>102</v>
      </c>
    </row>
    <row r="27" spans="1:4" x14ac:dyDescent="0.2">
      <c r="A27" s="7" t="s">
        <v>103</v>
      </c>
      <c r="B27" s="13">
        <f>MAX(0,B26-B17)</f>
        <v>33000000</v>
      </c>
      <c r="C27" s="7" t="s">
        <v>104</v>
      </c>
    </row>
    <row r="29" spans="1:4" x14ac:dyDescent="0.2">
      <c r="A29" s="31" t="s">
        <v>105</v>
      </c>
      <c r="B29" s="32"/>
      <c r="C29" s="32"/>
      <c r="D29" s="33"/>
    </row>
    <row r="30" spans="1:4" ht="50" customHeight="1" x14ac:dyDescent="0.2">
      <c r="A30" s="34" t="s">
        <v>106</v>
      </c>
      <c r="B30" s="30"/>
      <c r="C30" s="30"/>
      <c r="D30" s="30"/>
    </row>
  </sheetData>
  <mergeCells count="4">
    <mergeCell ref="A1:D1"/>
    <mergeCell ref="A30:D30"/>
    <mergeCell ref="A13:D13"/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18" customWidth="1"/>
    <col min="3" max="3" width="34" customWidth="1"/>
    <col min="4" max="4" width="18" customWidth="1"/>
  </cols>
  <sheetData>
    <row r="1" spans="1:4" x14ac:dyDescent="0.2">
      <c r="A1" s="31" t="s">
        <v>107</v>
      </c>
      <c r="B1" s="32"/>
      <c r="C1" s="32"/>
      <c r="D1" s="33"/>
    </row>
    <row r="2" spans="1:4" x14ac:dyDescent="0.2">
      <c r="A2" s="7" t="s">
        <v>59</v>
      </c>
      <c r="B2" s="7" t="s">
        <v>78</v>
      </c>
      <c r="C2" s="7" t="s">
        <v>33</v>
      </c>
    </row>
    <row r="3" spans="1:4" x14ac:dyDescent="0.2">
      <c r="A3" s="7" t="s">
        <v>108</v>
      </c>
      <c r="B3" s="12">
        <v>50</v>
      </c>
      <c r="C3" s="7" t="s">
        <v>109</v>
      </c>
    </row>
    <row r="4" spans="1:4" x14ac:dyDescent="0.2">
      <c r="A4" s="7" t="s">
        <v>110</v>
      </c>
      <c r="B4" s="12">
        <v>60</v>
      </c>
      <c r="C4" s="7" t="s">
        <v>109</v>
      </c>
    </row>
    <row r="5" spans="1:4" x14ac:dyDescent="0.2">
      <c r="A5" s="7" t="s">
        <v>111</v>
      </c>
      <c r="B5" s="12">
        <v>85</v>
      </c>
      <c r="C5" s="7" t="s">
        <v>109</v>
      </c>
    </row>
    <row r="6" spans="1:4" x14ac:dyDescent="0.2">
      <c r="A6" s="7" t="s">
        <v>61</v>
      </c>
      <c r="B6" s="10">
        <v>80000</v>
      </c>
      <c r="C6" s="7" t="s">
        <v>112</v>
      </c>
    </row>
    <row r="7" spans="1:4" x14ac:dyDescent="0.2">
      <c r="A7" s="7" t="s">
        <v>54</v>
      </c>
      <c r="B7" s="11">
        <f>Rates!$B$13</f>
        <v>0.6</v>
      </c>
      <c r="C7" s="7" t="s">
        <v>63</v>
      </c>
    </row>
    <row r="8" spans="1:4" x14ac:dyDescent="0.2">
      <c r="A8" s="7" t="s">
        <v>56</v>
      </c>
      <c r="B8" s="11">
        <f>Rates!$B$14</f>
        <v>0.4</v>
      </c>
      <c r="C8" s="7" t="s">
        <v>63</v>
      </c>
    </row>
    <row r="9" spans="1:4" x14ac:dyDescent="0.2">
      <c r="A9" s="7" t="s">
        <v>113</v>
      </c>
      <c r="B9" s="10">
        <v>3000000</v>
      </c>
      <c r="C9" s="7" t="s">
        <v>114</v>
      </c>
    </row>
    <row r="10" spans="1:4" x14ac:dyDescent="0.2">
      <c r="A10" s="7" t="s">
        <v>115</v>
      </c>
      <c r="B10" s="10">
        <v>1000000</v>
      </c>
      <c r="C10" s="7" t="s">
        <v>114</v>
      </c>
    </row>
    <row r="11" spans="1:4" x14ac:dyDescent="0.2">
      <c r="A11" s="7" t="s">
        <v>68</v>
      </c>
      <c r="B11" s="12">
        <v>0</v>
      </c>
      <c r="C11" s="7" t="s">
        <v>112</v>
      </c>
    </row>
    <row r="12" spans="1:4" x14ac:dyDescent="0.2">
      <c r="A12" s="7" t="s">
        <v>70</v>
      </c>
      <c r="B12" s="12">
        <v>6</v>
      </c>
      <c r="C12" s="7" t="s">
        <v>116</v>
      </c>
    </row>
    <row r="13" spans="1:4" x14ac:dyDescent="0.2">
      <c r="A13" s="7" t="s">
        <v>74</v>
      </c>
      <c r="B13" s="12">
        <v>0</v>
      </c>
      <c r="C13" s="7" t="s">
        <v>114</v>
      </c>
    </row>
    <row r="15" spans="1:4" x14ac:dyDescent="0.2">
      <c r="A15" s="31" t="s">
        <v>117</v>
      </c>
      <c r="B15" s="32"/>
      <c r="C15" s="32"/>
      <c r="D15" s="33"/>
    </row>
    <row r="16" spans="1:4" x14ac:dyDescent="0.2">
      <c r="A16" s="7" t="s">
        <v>77</v>
      </c>
      <c r="B16" s="7" t="s">
        <v>78</v>
      </c>
      <c r="C16" s="7" t="s">
        <v>79</v>
      </c>
    </row>
    <row r="17" spans="1:3" x14ac:dyDescent="0.2">
      <c r="A17" s="7" t="s">
        <v>118</v>
      </c>
      <c r="B17" s="13">
        <f>MAX(0,B4-B3)</f>
        <v>10</v>
      </c>
      <c r="C17" s="7" t="s">
        <v>119</v>
      </c>
    </row>
    <row r="18" spans="1:3" x14ac:dyDescent="0.2">
      <c r="A18" s="7" t="s">
        <v>120</v>
      </c>
      <c r="B18" s="13">
        <f>MAX(0,B5-B4)</f>
        <v>25</v>
      </c>
      <c r="C18" s="7" t="s">
        <v>121</v>
      </c>
    </row>
    <row r="19" spans="1:3" x14ac:dyDescent="0.2">
      <c r="A19" s="7" t="s">
        <v>80</v>
      </c>
      <c r="B19" s="13">
        <f>B6*B7</f>
        <v>48000</v>
      </c>
      <c r="C19" s="7" t="s">
        <v>81</v>
      </c>
    </row>
    <row r="20" spans="1:3" x14ac:dyDescent="0.2">
      <c r="A20" s="7" t="s">
        <v>82</v>
      </c>
      <c r="B20" s="13">
        <f>B6*B8</f>
        <v>32000</v>
      </c>
      <c r="C20" s="7" t="s">
        <v>83</v>
      </c>
    </row>
    <row r="21" spans="1:3" x14ac:dyDescent="0.2">
      <c r="A21" s="7" t="s">
        <v>84</v>
      </c>
      <c r="B21" s="13">
        <f>B9+B10</f>
        <v>4000000</v>
      </c>
      <c r="C21" s="7" t="s">
        <v>122</v>
      </c>
    </row>
    <row r="22" spans="1:3" x14ac:dyDescent="0.2">
      <c r="A22" s="7" t="s">
        <v>86</v>
      </c>
      <c r="B22" s="13">
        <f>B19*B12</f>
        <v>288000</v>
      </c>
      <c r="C22" s="7" t="s">
        <v>87</v>
      </c>
    </row>
    <row r="23" spans="1:3" x14ac:dyDescent="0.2">
      <c r="A23" s="7" t="s">
        <v>88</v>
      </c>
      <c r="B23" s="13">
        <f>MAX(0,B21-B22-B13)</f>
        <v>3712000</v>
      </c>
      <c r="C23" s="7" t="s">
        <v>123</v>
      </c>
    </row>
    <row r="24" spans="1:3" x14ac:dyDescent="0.2">
      <c r="A24" s="7" t="s">
        <v>124</v>
      </c>
      <c r="B24" s="13">
        <f>B6*12*25</f>
        <v>24000000</v>
      </c>
      <c r="C24" s="7" t="s">
        <v>125</v>
      </c>
    </row>
    <row r="25" spans="1:3" x14ac:dyDescent="0.2">
      <c r="A25" s="7" t="s">
        <v>126</v>
      </c>
      <c r="B25" s="13">
        <f>B21</f>
        <v>4000000</v>
      </c>
      <c r="C25" s="7" t="s">
        <v>127</v>
      </c>
    </row>
    <row r="26" spans="1:3" x14ac:dyDescent="0.2">
      <c r="A26" s="7" t="s">
        <v>128</v>
      </c>
      <c r="B26" s="13">
        <f>MAX(0,B24-B25)</f>
        <v>20000000</v>
      </c>
      <c r="C26" s="7" t="s">
        <v>129</v>
      </c>
    </row>
    <row r="27" spans="1:3" x14ac:dyDescent="0.2">
      <c r="A27" s="7" t="s">
        <v>130</v>
      </c>
      <c r="B27" s="13">
        <f>B17*12</f>
        <v>120</v>
      </c>
      <c r="C27" s="7" t="s">
        <v>131</v>
      </c>
    </row>
    <row r="28" spans="1:3" x14ac:dyDescent="0.2">
      <c r="A28" s="7" t="s">
        <v>132</v>
      </c>
      <c r="B28" s="13">
        <f>IF(B27&gt;0,B26/B27,0)</f>
        <v>166666.66666666666</v>
      </c>
      <c r="C28" s="7" t="s">
        <v>133</v>
      </c>
    </row>
    <row r="29" spans="1:3" x14ac:dyDescent="0.2">
      <c r="A29" s="7" t="s">
        <v>90</v>
      </c>
      <c r="B29" s="13">
        <f>MAX(0,B19-B11)</f>
        <v>48000</v>
      </c>
      <c r="C29" s="7" t="s">
        <v>91</v>
      </c>
    </row>
    <row r="30" spans="1:3" x14ac:dyDescent="0.2">
      <c r="A30" s="7" t="s">
        <v>92</v>
      </c>
      <c r="B30" s="13">
        <f>MAX(0,B6-B11)</f>
        <v>80000</v>
      </c>
      <c r="C30" s="7" t="s">
        <v>93</v>
      </c>
    </row>
    <row r="31" spans="1:3" x14ac:dyDescent="0.2">
      <c r="A31" s="7" t="s">
        <v>94</v>
      </c>
      <c r="B31" s="13">
        <f>IF(B29&gt;0,B23/B29,"∞")</f>
        <v>77.333333333333329</v>
      </c>
      <c r="C31" s="7" t="s">
        <v>95</v>
      </c>
    </row>
    <row r="32" spans="1:3" x14ac:dyDescent="0.2">
      <c r="A32" s="7" t="s">
        <v>96</v>
      </c>
      <c r="B32" s="13">
        <f>IF(B30&gt;0,B23/B30,"∞")</f>
        <v>46.4</v>
      </c>
      <c r="C32" s="7" t="s">
        <v>97</v>
      </c>
    </row>
    <row r="33" spans="1:3" x14ac:dyDescent="0.2">
      <c r="A33" s="7" t="s">
        <v>134</v>
      </c>
      <c r="B33" s="13">
        <f>B11*12</f>
        <v>0</v>
      </c>
      <c r="C33" s="7" t="s">
        <v>135</v>
      </c>
    </row>
    <row r="34" spans="1:3" x14ac:dyDescent="0.2">
      <c r="A34" s="7" t="s">
        <v>136</v>
      </c>
      <c r="B34" s="13">
        <f>B6*12</f>
        <v>960000</v>
      </c>
      <c r="C34" s="7" t="s">
        <v>137</v>
      </c>
    </row>
    <row r="35" spans="1:3" x14ac:dyDescent="0.2">
      <c r="A35" s="7" t="s">
        <v>138</v>
      </c>
      <c r="B35" s="15">
        <f>IF(B34&gt;0,B33/B34,"N/A")</f>
        <v>0</v>
      </c>
      <c r="C35" s="7" t="s">
        <v>139</v>
      </c>
    </row>
    <row r="36" spans="1:3" ht="30" x14ac:dyDescent="0.2">
      <c r="A36" s="7" t="s">
        <v>140</v>
      </c>
      <c r="B36" s="16" t="str">
        <f>IF(OR(B25&gt;=B24,B33&gt;=B34),"YES — corpus or passive sufficient","NO — gap remains")</f>
        <v>NO — gap remains</v>
      </c>
      <c r="C36" s="7" t="s">
        <v>141</v>
      </c>
    </row>
  </sheetData>
  <mergeCells count="2">
    <mergeCell ref="A1:D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5"/>
  <sheetViews>
    <sheetView showGridLines="0" workbookViewId="0">
      <selection activeCell="F29" sqref="F29"/>
    </sheetView>
  </sheetViews>
  <sheetFormatPr baseColWidth="10" defaultColWidth="8.83203125" defaultRowHeight="15" x14ac:dyDescent="0.2"/>
  <cols>
    <col min="1" max="1" width="22.6640625" customWidth="1"/>
    <col min="2" max="2" width="14" customWidth="1"/>
    <col min="3" max="3" width="36.5" customWidth="1"/>
    <col min="4" max="8" width="14" customWidth="1"/>
    <col min="9" max="9" width="12" customWidth="1"/>
    <col min="10" max="11" width="14" customWidth="1"/>
    <col min="12" max="12" width="12" customWidth="1"/>
    <col min="13" max="15" width="14" customWidth="1"/>
    <col min="16" max="20" width="12" customWidth="1"/>
    <col min="21" max="22" width="9" customWidth="1"/>
  </cols>
  <sheetData>
    <row r="1" spans="1:6" x14ac:dyDescent="0.2">
      <c r="A1" s="31" t="s">
        <v>142</v>
      </c>
      <c r="B1" s="32"/>
      <c r="C1" s="32"/>
      <c r="D1" s="32"/>
      <c r="E1" s="32"/>
      <c r="F1" s="33"/>
    </row>
    <row r="2" spans="1:6" x14ac:dyDescent="0.2">
      <c r="A2" s="7" t="s">
        <v>59</v>
      </c>
      <c r="B2" s="7" t="s">
        <v>78</v>
      </c>
      <c r="C2" s="7" t="s">
        <v>33</v>
      </c>
    </row>
    <row r="3" spans="1:6" x14ac:dyDescent="0.2">
      <c r="A3" s="7" t="s">
        <v>61</v>
      </c>
      <c r="B3" s="10">
        <v>100000</v>
      </c>
      <c r="C3" s="7" t="s">
        <v>112</v>
      </c>
    </row>
    <row r="4" spans="1:6" x14ac:dyDescent="0.2">
      <c r="A4" s="7" t="s">
        <v>143</v>
      </c>
      <c r="B4" s="10">
        <v>1500000</v>
      </c>
      <c r="C4" s="7" t="s">
        <v>144</v>
      </c>
    </row>
    <row r="5" spans="1:6" x14ac:dyDescent="0.2">
      <c r="A5" s="7" t="s">
        <v>145</v>
      </c>
      <c r="B5" s="10">
        <v>2000000</v>
      </c>
      <c r="C5" s="7" t="s">
        <v>37</v>
      </c>
    </row>
    <row r="6" spans="1:6" x14ac:dyDescent="0.2">
      <c r="A6" s="7" t="s">
        <v>146</v>
      </c>
      <c r="B6" s="10">
        <v>10000000</v>
      </c>
      <c r="C6" s="7" t="s">
        <v>147</v>
      </c>
    </row>
    <row r="7" spans="1:6" x14ac:dyDescent="0.2">
      <c r="A7" s="7" t="s">
        <v>148</v>
      </c>
      <c r="B7" s="12">
        <v>25000000</v>
      </c>
      <c r="C7" s="7" t="s">
        <v>149</v>
      </c>
    </row>
    <row r="8" spans="1:6" x14ac:dyDescent="0.2">
      <c r="A8" s="7" t="s">
        <v>68</v>
      </c>
      <c r="B8" s="12">
        <v>0</v>
      </c>
      <c r="C8" s="7" t="s">
        <v>150</v>
      </c>
    </row>
    <row r="9" spans="1:6" x14ac:dyDescent="0.2">
      <c r="A9" s="7" t="s">
        <v>70</v>
      </c>
      <c r="B9" s="12">
        <v>6</v>
      </c>
      <c r="C9" s="7" t="s">
        <v>151</v>
      </c>
    </row>
    <row r="10" spans="1:6" x14ac:dyDescent="0.2">
      <c r="A10" s="7" t="s">
        <v>72</v>
      </c>
      <c r="B10" s="12">
        <v>0</v>
      </c>
      <c r="C10" s="7" t="s">
        <v>152</v>
      </c>
    </row>
    <row r="11" spans="1:6" x14ac:dyDescent="0.2">
      <c r="A11" s="7" t="s">
        <v>74</v>
      </c>
      <c r="B11" s="12">
        <v>0</v>
      </c>
      <c r="C11" s="7" t="s">
        <v>153</v>
      </c>
    </row>
    <row r="12" spans="1:6" x14ac:dyDescent="0.2">
      <c r="A12" s="7" t="s">
        <v>154</v>
      </c>
      <c r="B12" s="12">
        <v>0</v>
      </c>
      <c r="C12" s="7" t="s">
        <v>155</v>
      </c>
    </row>
    <row r="13" spans="1:6" x14ac:dyDescent="0.2">
      <c r="A13" s="7" t="s">
        <v>156</v>
      </c>
      <c r="B13" s="12">
        <v>0</v>
      </c>
      <c r="C13" s="7" t="s">
        <v>157</v>
      </c>
    </row>
    <row r="15" spans="1:6" x14ac:dyDescent="0.2">
      <c r="A15" s="31" t="s">
        <v>158</v>
      </c>
      <c r="B15" s="32"/>
      <c r="C15" s="32"/>
      <c r="D15" s="32"/>
      <c r="E15" s="32"/>
      <c r="F15" s="33"/>
    </row>
    <row r="16" spans="1:6" x14ac:dyDescent="0.2">
      <c r="A16" s="7" t="s">
        <v>159</v>
      </c>
      <c r="B16" s="17" t="str">
        <f>Rates!$B$13&amp;" / "&amp;Rates!$B$14</f>
        <v>0.6 / 0.4</v>
      </c>
      <c r="C16" s="7" t="s">
        <v>160</v>
      </c>
    </row>
    <row r="17" spans="1:22" x14ac:dyDescent="0.2">
      <c r="A17" s="7" t="s">
        <v>80</v>
      </c>
      <c r="B17" s="18">
        <f>B3*Rates!$B$13</f>
        <v>60000</v>
      </c>
      <c r="C17" s="7" t="e">
        <f>monthly_expenses * needs%</f>
        <v>#NAME?</v>
      </c>
    </row>
    <row r="18" spans="1:22" x14ac:dyDescent="0.2">
      <c r="A18" s="7" t="s">
        <v>161</v>
      </c>
      <c r="B18" s="18">
        <f>B17*B9</f>
        <v>360000</v>
      </c>
      <c r="C18" s="7" t="e">
        <f>monthly_survival * emergency_months</f>
        <v>#NAME?</v>
      </c>
    </row>
    <row r="19" spans="1:22" x14ac:dyDescent="0.2">
      <c r="A19" s="7" t="s">
        <v>162</v>
      </c>
      <c r="B19" s="18">
        <f>MAX(0,B4-MIN(B4,B18+B10+B11))</f>
        <v>1140000</v>
      </c>
      <c r="C19" s="7" t="s">
        <v>163</v>
      </c>
    </row>
    <row r="20" spans="1:22" x14ac:dyDescent="0.2">
      <c r="A20" s="7" t="s">
        <v>164</v>
      </c>
      <c r="B20" s="18">
        <f>MAX(0,B5-MIN(B5,MAX(0,B18+B10+B11-B4)))</f>
        <v>2000000</v>
      </c>
      <c r="C20" s="7" t="s">
        <v>165</v>
      </c>
    </row>
    <row r="21" spans="1:22" x14ac:dyDescent="0.2">
      <c r="A21" s="7" t="s">
        <v>84</v>
      </c>
      <c r="B21" s="18">
        <f>B4+B5+B6+B7</f>
        <v>38500000</v>
      </c>
    </row>
    <row r="22" spans="1:22" x14ac:dyDescent="0.2">
      <c r="A22" s="7" t="s">
        <v>88</v>
      </c>
      <c r="B22" s="18">
        <f>MAX(0,B21-B18-B10-B11)</f>
        <v>38140000</v>
      </c>
    </row>
    <row r="23" spans="1:22" x14ac:dyDescent="0.2">
      <c r="A23" s="7" t="s">
        <v>94</v>
      </c>
      <c r="B23" s="19">
        <f>IF(MAX(0,B17-B8)&gt;0,B22/MAX(0,B17-B8),"∞")</f>
        <v>635.66666666666663</v>
      </c>
    </row>
    <row r="24" spans="1:22" x14ac:dyDescent="0.2">
      <c r="A24" s="7" t="s">
        <v>166</v>
      </c>
      <c r="B24" s="18">
        <f>B17*12*25</f>
        <v>18000000</v>
      </c>
    </row>
    <row r="25" spans="1:22" x14ac:dyDescent="0.2">
      <c r="A25" s="7" t="s">
        <v>103</v>
      </c>
      <c r="B25" s="18">
        <f>MAX(0,B24-B21)</f>
        <v>0</v>
      </c>
    </row>
    <row r="26" spans="1:22" x14ac:dyDescent="0.2">
      <c r="A26" s="7" t="s">
        <v>167</v>
      </c>
      <c r="B26" s="20">
        <f>INT(B13/12)</f>
        <v>0</v>
      </c>
      <c r="C26" s="7" t="s">
        <v>168</v>
      </c>
    </row>
    <row r="28" spans="1:22" x14ac:dyDescent="0.2">
      <c r="A28" s="21" t="s">
        <v>169</v>
      </c>
      <c r="B28" s="21" t="s">
        <v>170</v>
      </c>
      <c r="C28" s="21" t="s">
        <v>171</v>
      </c>
      <c r="D28" s="21" t="s">
        <v>172</v>
      </c>
      <c r="E28" s="21" t="s">
        <v>173</v>
      </c>
      <c r="F28" s="21" t="s">
        <v>84</v>
      </c>
      <c r="G28" s="21" t="s">
        <v>174</v>
      </c>
      <c r="H28" s="21" t="s">
        <v>175</v>
      </c>
      <c r="I28" s="21" t="s">
        <v>176</v>
      </c>
      <c r="J28" s="21" t="s">
        <v>177</v>
      </c>
      <c r="K28" s="21" t="s">
        <v>178</v>
      </c>
      <c r="L28" s="21" t="s">
        <v>179</v>
      </c>
      <c r="M28" s="21" t="s">
        <v>180</v>
      </c>
      <c r="N28" s="21" t="s">
        <v>181</v>
      </c>
      <c r="O28" s="21" t="s">
        <v>182</v>
      </c>
      <c r="P28" s="21" t="s">
        <v>183</v>
      </c>
      <c r="Q28" s="21" t="s">
        <v>184</v>
      </c>
      <c r="R28" s="21" t="s">
        <v>185</v>
      </c>
      <c r="S28" s="21" t="s">
        <v>186</v>
      </c>
      <c r="T28" s="21" t="s">
        <v>187</v>
      </c>
      <c r="U28" s="21" t="s">
        <v>188</v>
      </c>
      <c r="V28" s="21" t="s">
        <v>189</v>
      </c>
    </row>
    <row r="29" spans="1:22" x14ac:dyDescent="0.2">
      <c r="A29" s="22">
        <v>0</v>
      </c>
      <c r="B29" s="23">
        <f>B19</f>
        <v>1140000</v>
      </c>
      <c r="C29" s="23">
        <f>B20</f>
        <v>2000000</v>
      </c>
      <c r="D29" s="23">
        <f>$B$6</f>
        <v>10000000</v>
      </c>
      <c r="E29" s="23">
        <f>$B$7</f>
        <v>25000000</v>
      </c>
      <c r="F29" s="23">
        <f t="shared" ref="F29:F49" si="0">B29+C29+D29+E29</f>
        <v>38140000</v>
      </c>
      <c r="G29" s="23">
        <f>B17*12</f>
        <v>720000</v>
      </c>
      <c r="H29" s="23">
        <f>B3*Rates!$B$14*12</f>
        <v>480000</v>
      </c>
      <c r="I29" s="23">
        <v>0</v>
      </c>
      <c r="J29" s="23">
        <f t="shared" ref="J29:J49" si="1">G29+H29+I29</f>
        <v>1200000</v>
      </c>
      <c r="K29" s="23">
        <f>$B$8*12</f>
        <v>0</v>
      </c>
      <c r="L29" s="23">
        <f>E29*Rates!$B$7</f>
        <v>500000</v>
      </c>
      <c r="M29" s="23">
        <f>IF(A29&gt;=$B$26,$B$12*12,0)</f>
        <v>0</v>
      </c>
      <c r="N29" s="23">
        <f t="shared" ref="N29:N49" si="2">K29+L29+M29</f>
        <v>500000</v>
      </c>
      <c r="O29" s="24">
        <f t="shared" ref="O29:O49" si="3">N29-J29</f>
        <v>-700000</v>
      </c>
      <c r="P29" s="23">
        <f t="shared" ref="P29:P49" si="4">MAX(0,-O29)</f>
        <v>700000</v>
      </c>
      <c r="Q29" s="23">
        <f t="shared" ref="Q29:Q49" si="5">MIN(B29,P29)</f>
        <v>700000</v>
      </c>
      <c r="R29" s="23">
        <f t="shared" ref="R29:R49" si="6">MIN(C29,MAX(0,P29-Q29))</f>
        <v>0</v>
      </c>
      <c r="S29" s="23">
        <f t="shared" ref="S29:S49" si="7">MAX(0,P29-Q29-R29)</f>
        <v>0</v>
      </c>
      <c r="T29" s="23">
        <f t="shared" ref="T29:T49" si="8">MAX(0,O29)</f>
        <v>0</v>
      </c>
      <c r="U29" s="25" t="str">
        <f t="shared" ref="U29:U49" si="9">IF(N29&gt;=J29,"✓","")</f>
        <v/>
      </c>
      <c r="V29" s="25" t="str">
        <f t="shared" ref="V29:V49" si="10">IF(F29&lt;=0,"✗","")</f>
        <v/>
      </c>
    </row>
    <row r="30" spans="1:22" x14ac:dyDescent="0.2">
      <c r="A30" s="22">
        <v>1</v>
      </c>
      <c r="B30" s="26">
        <f>(B29-Q29)*( 1+Rates!$B$3)</f>
        <v>462000</v>
      </c>
      <c r="C30" s="26">
        <f>(C29-R29)*(1+Rates!$B$4)</f>
        <v>2160000</v>
      </c>
      <c r="D30" s="26">
        <f>(D29-S29+T29)*(1+Rates!$B$5)</f>
        <v>11000000</v>
      </c>
      <c r="E30" s="26">
        <f>E29*(1+Rates!$B$6)</f>
        <v>26000000</v>
      </c>
      <c r="F30" s="26">
        <f t="shared" si="0"/>
        <v>39622000</v>
      </c>
      <c r="G30" s="26">
        <f>G29*(1+Rates!$B$8)</f>
        <v>763200</v>
      </c>
      <c r="H30" s="26">
        <f>H29*(1+Rates!$B$9)</f>
        <v>513600.00000000006</v>
      </c>
      <c r="I30" s="26">
        <v>0</v>
      </c>
      <c r="J30" s="26">
        <f t="shared" si="1"/>
        <v>1276800</v>
      </c>
      <c r="K30" s="26">
        <f>K29*(1+Rates!$B$10)</f>
        <v>0</v>
      </c>
      <c r="L30" s="26">
        <f>E30*Rates!$B$7</f>
        <v>520000</v>
      </c>
      <c r="M30" s="26">
        <f>IF(A30&gt;=$B$26,IF(M29=0,$B$12*12,M29*(1+Rates!$B$10)),0)</f>
        <v>0</v>
      </c>
      <c r="N30" s="26">
        <f t="shared" si="2"/>
        <v>520000</v>
      </c>
      <c r="O30" s="27">
        <f t="shared" si="3"/>
        <v>-756800</v>
      </c>
      <c r="P30" s="26">
        <f t="shared" si="4"/>
        <v>756800</v>
      </c>
      <c r="Q30" s="26">
        <f t="shared" si="5"/>
        <v>462000</v>
      </c>
      <c r="R30" s="26">
        <f t="shared" si="6"/>
        <v>294800</v>
      </c>
      <c r="S30" s="26">
        <f t="shared" si="7"/>
        <v>0</v>
      </c>
      <c r="T30" s="26">
        <f t="shared" si="8"/>
        <v>0</v>
      </c>
      <c r="U30" s="28" t="str">
        <f t="shared" si="9"/>
        <v/>
      </c>
      <c r="V30" s="28" t="str">
        <f t="shared" si="10"/>
        <v/>
      </c>
    </row>
    <row r="31" spans="1:22" x14ac:dyDescent="0.2">
      <c r="A31" s="22">
        <v>2</v>
      </c>
      <c r="B31" s="23">
        <f>(B30-Q30)*( 1+Rates!$B$3)</f>
        <v>0</v>
      </c>
      <c r="C31" s="23">
        <f>(C30-R30)*(1+Rates!$B$4)</f>
        <v>2014416.0000000002</v>
      </c>
      <c r="D31" s="23">
        <f>(D30-S30+T30)*(1+Rates!$B$5)</f>
        <v>12100000.000000002</v>
      </c>
      <c r="E31" s="23">
        <f>E30*(1+Rates!$B$6)</f>
        <v>27040000</v>
      </c>
      <c r="F31" s="23">
        <f t="shared" si="0"/>
        <v>41154416</v>
      </c>
      <c r="G31" s="23">
        <f>G30*(1+Rates!$B$8)</f>
        <v>808992</v>
      </c>
      <c r="H31" s="23">
        <f>H30*(1+Rates!$B$9)</f>
        <v>549552.00000000012</v>
      </c>
      <c r="I31" s="23">
        <v>0</v>
      </c>
      <c r="J31" s="23">
        <f t="shared" si="1"/>
        <v>1358544</v>
      </c>
      <c r="K31" s="23">
        <f>K30*(1+Rates!$B$10)</f>
        <v>0</v>
      </c>
      <c r="L31" s="23">
        <f>E31*Rates!$B$7</f>
        <v>540800</v>
      </c>
      <c r="M31" s="23">
        <f>IF(A31&gt;=$B$26,IF(M30=0,$B$12*12,M30*(1+Rates!$B$10)),0)</f>
        <v>0</v>
      </c>
      <c r="N31" s="23">
        <f t="shared" si="2"/>
        <v>540800</v>
      </c>
      <c r="O31" s="24">
        <f t="shared" si="3"/>
        <v>-817744</v>
      </c>
      <c r="P31" s="23">
        <f t="shared" si="4"/>
        <v>817744</v>
      </c>
      <c r="Q31" s="23">
        <f t="shared" si="5"/>
        <v>0</v>
      </c>
      <c r="R31" s="23">
        <f t="shared" si="6"/>
        <v>817744</v>
      </c>
      <c r="S31" s="23">
        <f t="shared" si="7"/>
        <v>0</v>
      </c>
      <c r="T31" s="23">
        <f t="shared" si="8"/>
        <v>0</v>
      </c>
      <c r="U31" s="25" t="str">
        <f t="shared" si="9"/>
        <v/>
      </c>
      <c r="V31" s="25" t="str">
        <f t="shared" si="10"/>
        <v/>
      </c>
    </row>
    <row r="32" spans="1:22" x14ac:dyDescent="0.2">
      <c r="A32" s="22">
        <v>3</v>
      </c>
      <c r="B32" s="26">
        <f>(B31-Q31)*( 1+Rates!$B$3)</f>
        <v>0</v>
      </c>
      <c r="C32" s="26">
        <f>(C31-R31)*(1+Rates!$B$4)</f>
        <v>1292405.7600000002</v>
      </c>
      <c r="D32" s="26">
        <f>(D31-S31+T31)*(1+Rates!$B$5)</f>
        <v>13310000.000000004</v>
      </c>
      <c r="E32" s="26">
        <f>E31*(1+Rates!$B$6)</f>
        <v>28121600</v>
      </c>
      <c r="F32" s="26">
        <f t="shared" si="0"/>
        <v>42724005.760000005</v>
      </c>
      <c r="G32" s="26">
        <f>G31*(1+Rates!$B$8)</f>
        <v>857531.52</v>
      </c>
      <c r="H32" s="26">
        <f>H31*(1+Rates!$B$9)</f>
        <v>588020.64000000013</v>
      </c>
      <c r="I32" s="26">
        <v>0</v>
      </c>
      <c r="J32" s="26">
        <f t="shared" si="1"/>
        <v>1445552.1600000001</v>
      </c>
      <c r="K32" s="26">
        <f>K31*(1+Rates!$B$10)</f>
        <v>0</v>
      </c>
      <c r="L32" s="26">
        <f>E32*Rates!$B$7</f>
        <v>562432</v>
      </c>
      <c r="M32" s="26">
        <f>IF(A32&gt;=$B$26,IF(M31=0,$B$12*12,M31*(1+Rates!$B$10)),0)</f>
        <v>0</v>
      </c>
      <c r="N32" s="26">
        <f t="shared" si="2"/>
        <v>562432</v>
      </c>
      <c r="O32" s="27">
        <f t="shared" si="3"/>
        <v>-883120.16000000015</v>
      </c>
      <c r="P32" s="26">
        <f t="shared" si="4"/>
        <v>883120.16000000015</v>
      </c>
      <c r="Q32" s="26">
        <f t="shared" si="5"/>
        <v>0</v>
      </c>
      <c r="R32" s="26">
        <f t="shared" si="6"/>
        <v>883120.16000000015</v>
      </c>
      <c r="S32" s="26">
        <f t="shared" si="7"/>
        <v>0</v>
      </c>
      <c r="T32" s="26">
        <f t="shared" si="8"/>
        <v>0</v>
      </c>
      <c r="U32" s="28" t="str">
        <f t="shared" si="9"/>
        <v/>
      </c>
      <c r="V32" s="28" t="str">
        <f t="shared" si="10"/>
        <v/>
      </c>
    </row>
    <row r="33" spans="1:22" x14ac:dyDescent="0.2">
      <c r="A33" s="22">
        <v>4</v>
      </c>
      <c r="B33" s="23">
        <f>(B32-Q32)*( 1+Rates!$B$3)</f>
        <v>0</v>
      </c>
      <c r="C33" s="23">
        <f>(C32-R32)*(1+Rates!$B$4)</f>
        <v>442028.44800000015</v>
      </c>
      <c r="D33" s="23">
        <f>(D32-S32+T32)*(1+Rates!$B$5)</f>
        <v>14641000.000000006</v>
      </c>
      <c r="E33" s="23">
        <f>E32*(1+Rates!$B$6)</f>
        <v>29246464</v>
      </c>
      <c r="F33" s="23">
        <f t="shared" si="0"/>
        <v>44329492.448000006</v>
      </c>
      <c r="G33" s="23">
        <f>G32*(1+Rates!$B$8)</f>
        <v>908983.41120000009</v>
      </c>
      <c r="H33" s="23">
        <f>H32*(1+Rates!$B$9)</f>
        <v>629182.08480000019</v>
      </c>
      <c r="I33" s="23">
        <v>0</v>
      </c>
      <c r="J33" s="23">
        <f t="shared" si="1"/>
        <v>1538165.4960000003</v>
      </c>
      <c r="K33" s="23">
        <f>K32*(1+Rates!$B$10)</f>
        <v>0</v>
      </c>
      <c r="L33" s="23">
        <f>E33*Rates!$B$7</f>
        <v>584929.28000000003</v>
      </c>
      <c r="M33" s="23">
        <f>IF(A33&gt;=$B$26,IF(M32=0,$B$12*12,M32*(1+Rates!$B$10)),0)</f>
        <v>0</v>
      </c>
      <c r="N33" s="23">
        <f t="shared" si="2"/>
        <v>584929.28000000003</v>
      </c>
      <c r="O33" s="24">
        <f t="shared" si="3"/>
        <v>-953236.21600000025</v>
      </c>
      <c r="P33" s="23">
        <f t="shared" si="4"/>
        <v>953236.21600000025</v>
      </c>
      <c r="Q33" s="23">
        <f t="shared" si="5"/>
        <v>0</v>
      </c>
      <c r="R33" s="23">
        <f t="shared" si="6"/>
        <v>442028.44800000015</v>
      </c>
      <c r="S33" s="23">
        <f t="shared" si="7"/>
        <v>511207.7680000001</v>
      </c>
      <c r="T33" s="23">
        <f t="shared" si="8"/>
        <v>0</v>
      </c>
      <c r="U33" s="25" t="str">
        <f t="shared" si="9"/>
        <v/>
      </c>
      <c r="V33" s="25" t="str">
        <f t="shared" si="10"/>
        <v/>
      </c>
    </row>
    <row r="34" spans="1:22" x14ac:dyDescent="0.2">
      <c r="A34" s="22">
        <v>5</v>
      </c>
      <c r="B34" s="26">
        <f>(B33-Q33)*( 1+Rates!$B$3)</f>
        <v>0</v>
      </c>
      <c r="C34" s="26">
        <f>(C33-R33)*(1+Rates!$B$4)</f>
        <v>0</v>
      </c>
      <c r="D34" s="26">
        <f>(D33-S33+T33)*(1+Rates!$B$5)</f>
        <v>15542771.455200009</v>
      </c>
      <c r="E34" s="26">
        <f>E33*(1+Rates!$B$6)</f>
        <v>30416322.560000002</v>
      </c>
      <c r="F34" s="26">
        <f t="shared" si="0"/>
        <v>45959094.015200011</v>
      </c>
      <c r="G34" s="26">
        <f>G33*(1+Rates!$B$8)</f>
        <v>963522.41587200016</v>
      </c>
      <c r="H34" s="26">
        <f>H33*(1+Rates!$B$9)</f>
        <v>673224.83073600021</v>
      </c>
      <c r="I34" s="26">
        <v>0</v>
      </c>
      <c r="J34" s="26">
        <f t="shared" si="1"/>
        <v>1636747.2466080002</v>
      </c>
      <c r="K34" s="26">
        <f>K33*(1+Rates!$B$10)</f>
        <v>0</v>
      </c>
      <c r="L34" s="26">
        <f>E34*Rates!$B$7</f>
        <v>608326.45120000001</v>
      </c>
      <c r="M34" s="26">
        <f>IF(A34&gt;=$B$26,IF(M33=0,$B$12*12,M33*(1+Rates!$B$10)),0)</f>
        <v>0</v>
      </c>
      <c r="N34" s="26">
        <f t="shared" si="2"/>
        <v>608326.45120000001</v>
      </c>
      <c r="O34" s="27">
        <f t="shared" si="3"/>
        <v>-1028420.7954080002</v>
      </c>
      <c r="P34" s="26">
        <f t="shared" si="4"/>
        <v>1028420.7954080002</v>
      </c>
      <c r="Q34" s="26">
        <f t="shared" si="5"/>
        <v>0</v>
      </c>
      <c r="R34" s="26">
        <f t="shared" si="6"/>
        <v>0</v>
      </c>
      <c r="S34" s="26">
        <f t="shared" si="7"/>
        <v>1028420.7954080002</v>
      </c>
      <c r="T34" s="26">
        <f t="shared" si="8"/>
        <v>0</v>
      </c>
      <c r="U34" s="28" t="str">
        <f t="shared" si="9"/>
        <v/>
      </c>
      <c r="V34" s="28" t="str">
        <f t="shared" si="10"/>
        <v/>
      </c>
    </row>
    <row r="35" spans="1:22" x14ac:dyDescent="0.2">
      <c r="A35" s="22">
        <v>6</v>
      </c>
      <c r="B35" s="23">
        <f>(B34-Q34)*( 1+Rates!$B$3)</f>
        <v>0</v>
      </c>
      <c r="C35" s="23">
        <f>(C34-R34)*(1+Rates!$B$4)</f>
        <v>0</v>
      </c>
      <c r="D35" s="23">
        <f>(D34-S34+T34)*(1+Rates!$B$5)</f>
        <v>15965785.725771211</v>
      </c>
      <c r="E35" s="23">
        <f>E34*(1+Rates!$B$6)</f>
        <v>31632975.462400004</v>
      </c>
      <c r="F35" s="23">
        <f t="shared" si="0"/>
        <v>47598761.188171215</v>
      </c>
      <c r="G35" s="23">
        <f>G34*(1+Rates!$B$8)</f>
        <v>1021333.7608243203</v>
      </c>
      <c r="H35" s="23">
        <f>H34*(1+Rates!$B$9)</f>
        <v>720350.56888752023</v>
      </c>
      <c r="I35" s="23">
        <v>0</v>
      </c>
      <c r="J35" s="23">
        <f t="shared" si="1"/>
        <v>1741684.3297118405</v>
      </c>
      <c r="K35" s="23">
        <f>K34*(1+Rates!$B$10)</f>
        <v>0</v>
      </c>
      <c r="L35" s="23">
        <f>E35*Rates!$B$7</f>
        <v>632659.5092480001</v>
      </c>
      <c r="M35" s="23">
        <f>IF(A35&gt;=$B$26,IF(M34=0,$B$12*12,M34*(1+Rates!$B$10)),0)</f>
        <v>0</v>
      </c>
      <c r="N35" s="23">
        <f t="shared" si="2"/>
        <v>632659.5092480001</v>
      </c>
      <c r="O35" s="24">
        <f t="shared" si="3"/>
        <v>-1109024.8204638404</v>
      </c>
      <c r="P35" s="23">
        <f t="shared" si="4"/>
        <v>1109024.8204638404</v>
      </c>
      <c r="Q35" s="23">
        <f t="shared" si="5"/>
        <v>0</v>
      </c>
      <c r="R35" s="23">
        <f t="shared" si="6"/>
        <v>0</v>
      </c>
      <c r="S35" s="23">
        <f t="shared" si="7"/>
        <v>1109024.8204638404</v>
      </c>
      <c r="T35" s="23">
        <f t="shared" si="8"/>
        <v>0</v>
      </c>
      <c r="U35" s="25" t="str">
        <f t="shared" si="9"/>
        <v/>
      </c>
      <c r="V35" s="25" t="str">
        <f t="shared" si="10"/>
        <v/>
      </c>
    </row>
    <row r="36" spans="1:22" x14ac:dyDescent="0.2">
      <c r="A36" s="22">
        <v>7</v>
      </c>
      <c r="B36" s="26">
        <f>(B35-Q35)*( 1+Rates!$B$3)</f>
        <v>0</v>
      </c>
      <c r="C36" s="26">
        <f>(C35-R35)*(1+Rates!$B$4)</f>
        <v>0</v>
      </c>
      <c r="D36" s="26">
        <f>(D35-S35+T35)*(1+Rates!$B$5)</f>
        <v>16342436.995838109</v>
      </c>
      <c r="E36" s="26">
        <f>E35*(1+Rates!$B$6)</f>
        <v>32898294.480896007</v>
      </c>
      <c r="F36" s="26">
        <f t="shared" si="0"/>
        <v>49240731.476734117</v>
      </c>
      <c r="G36" s="26">
        <f>G35*(1+Rates!$B$8)</f>
        <v>1082613.7864737795</v>
      </c>
      <c r="H36" s="26">
        <f>H35*(1+Rates!$B$9)</f>
        <v>770775.10870964674</v>
      </c>
      <c r="I36" s="26">
        <v>0</v>
      </c>
      <c r="J36" s="26">
        <f t="shared" si="1"/>
        <v>1853388.8951834263</v>
      </c>
      <c r="K36" s="26">
        <f>K35*(1+Rates!$B$10)</f>
        <v>0</v>
      </c>
      <c r="L36" s="26">
        <f>E36*Rates!$B$7</f>
        <v>657965.88961792015</v>
      </c>
      <c r="M36" s="26">
        <f>IF(A36&gt;=$B$26,IF(M35=0,$B$12*12,M35*(1+Rates!$B$10)),0)</f>
        <v>0</v>
      </c>
      <c r="N36" s="26">
        <f t="shared" si="2"/>
        <v>657965.88961792015</v>
      </c>
      <c r="O36" s="27">
        <f t="shared" si="3"/>
        <v>-1195423.0055655062</v>
      </c>
      <c r="P36" s="26">
        <f t="shared" si="4"/>
        <v>1195423.0055655062</v>
      </c>
      <c r="Q36" s="26">
        <f t="shared" si="5"/>
        <v>0</v>
      </c>
      <c r="R36" s="26">
        <f t="shared" si="6"/>
        <v>0</v>
      </c>
      <c r="S36" s="26">
        <f t="shared" si="7"/>
        <v>1195423.0055655062</v>
      </c>
      <c r="T36" s="26">
        <f t="shared" si="8"/>
        <v>0</v>
      </c>
      <c r="U36" s="28" t="str">
        <f t="shared" si="9"/>
        <v/>
      </c>
      <c r="V36" s="28" t="str">
        <f t="shared" si="10"/>
        <v/>
      </c>
    </row>
    <row r="37" spans="1:22" x14ac:dyDescent="0.2">
      <c r="A37" s="22">
        <v>8</v>
      </c>
      <c r="B37" s="23">
        <f>(B36-Q36)*( 1+Rates!$B$3)</f>
        <v>0</v>
      </c>
      <c r="C37" s="23">
        <f>(C36-R36)*(1+Rates!$B$4)</f>
        <v>0</v>
      </c>
      <c r="D37" s="23">
        <f>(D36-S36+T36)*(1+Rates!$B$5)</f>
        <v>16661715.389299866</v>
      </c>
      <c r="E37" s="23">
        <f>E36*(1+Rates!$B$6)</f>
        <v>34214226.260131851</v>
      </c>
      <c r="F37" s="23">
        <f t="shared" si="0"/>
        <v>50875941.64943172</v>
      </c>
      <c r="G37" s="23">
        <f>G36*(1+Rates!$B$8)</f>
        <v>1147570.6136622063</v>
      </c>
      <c r="H37" s="23">
        <f>H36*(1+Rates!$B$9)</f>
        <v>824729.36631932203</v>
      </c>
      <c r="I37" s="23">
        <v>0</v>
      </c>
      <c r="J37" s="23">
        <f t="shared" si="1"/>
        <v>1972299.9799815284</v>
      </c>
      <c r="K37" s="23">
        <f>K36*(1+Rates!$B$10)</f>
        <v>0</v>
      </c>
      <c r="L37" s="23">
        <f>E37*Rates!$B$7</f>
        <v>684284.52520263707</v>
      </c>
      <c r="M37" s="23">
        <f>IF(A37&gt;=$B$26,IF(M36=0,$B$12*12,M36*(1+Rates!$B$10)),0)</f>
        <v>0</v>
      </c>
      <c r="N37" s="23">
        <f t="shared" si="2"/>
        <v>684284.52520263707</v>
      </c>
      <c r="O37" s="24">
        <f t="shared" si="3"/>
        <v>-1288015.4547788913</v>
      </c>
      <c r="P37" s="23">
        <f t="shared" si="4"/>
        <v>1288015.4547788913</v>
      </c>
      <c r="Q37" s="23">
        <f t="shared" si="5"/>
        <v>0</v>
      </c>
      <c r="R37" s="23">
        <f t="shared" si="6"/>
        <v>0</v>
      </c>
      <c r="S37" s="23">
        <f t="shared" si="7"/>
        <v>1288015.4547788913</v>
      </c>
      <c r="T37" s="23">
        <f t="shared" si="8"/>
        <v>0</v>
      </c>
      <c r="U37" s="25" t="str">
        <f t="shared" si="9"/>
        <v/>
      </c>
      <c r="V37" s="25" t="str">
        <f t="shared" si="10"/>
        <v/>
      </c>
    </row>
    <row r="38" spans="1:22" x14ac:dyDescent="0.2">
      <c r="A38" s="22">
        <v>9</v>
      </c>
      <c r="B38" s="26">
        <f>(B37-Q37)*( 1+Rates!$B$3)</f>
        <v>0</v>
      </c>
      <c r="C38" s="26">
        <f>(C37-R37)*(1+Rates!$B$4)</f>
        <v>0</v>
      </c>
      <c r="D38" s="26">
        <f>(D37-S37+T37)*(1+Rates!$B$5)</f>
        <v>16911069.927973073</v>
      </c>
      <c r="E38" s="26">
        <f>E37*(1+Rates!$B$6)</f>
        <v>35582795.31053713</v>
      </c>
      <c r="F38" s="26">
        <f t="shared" si="0"/>
        <v>52493865.238510206</v>
      </c>
      <c r="G38" s="26">
        <f>G37*(1+Rates!$B$8)</f>
        <v>1216424.8504819388</v>
      </c>
      <c r="H38" s="26">
        <f>H37*(1+Rates!$B$9)</f>
        <v>882460.42196167458</v>
      </c>
      <c r="I38" s="26">
        <v>0</v>
      </c>
      <c r="J38" s="26">
        <f t="shared" si="1"/>
        <v>2098885.2724436135</v>
      </c>
      <c r="K38" s="26">
        <f>K37*(1+Rates!$B$10)</f>
        <v>0</v>
      </c>
      <c r="L38" s="26">
        <f>E38*Rates!$B$7</f>
        <v>711655.90621074266</v>
      </c>
      <c r="M38" s="26">
        <f>IF(A38&gt;=$B$26,IF(M37=0,$B$12*12,M37*(1+Rates!$B$10)),0)</f>
        <v>0</v>
      </c>
      <c r="N38" s="26">
        <f t="shared" si="2"/>
        <v>711655.90621074266</v>
      </c>
      <c r="O38" s="27">
        <f t="shared" si="3"/>
        <v>-1387229.3662328708</v>
      </c>
      <c r="P38" s="26">
        <f t="shared" si="4"/>
        <v>1387229.3662328708</v>
      </c>
      <c r="Q38" s="26">
        <f t="shared" si="5"/>
        <v>0</v>
      </c>
      <c r="R38" s="26">
        <f t="shared" si="6"/>
        <v>0</v>
      </c>
      <c r="S38" s="26">
        <f t="shared" si="7"/>
        <v>1387229.3662328708</v>
      </c>
      <c r="T38" s="26">
        <f t="shared" si="8"/>
        <v>0</v>
      </c>
      <c r="U38" s="28" t="str">
        <f t="shared" si="9"/>
        <v/>
      </c>
      <c r="V38" s="28" t="str">
        <f t="shared" si="10"/>
        <v/>
      </c>
    </row>
    <row r="39" spans="1:22" x14ac:dyDescent="0.2">
      <c r="A39" s="22">
        <v>10</v>
      </c>
      <c r="B39" s="23">
        <f>(B38-Q38)*( 1+Rates!$B$3)</f>
        <v>0</v>
      </c>
      <c r="C39" s="23">
        <f>(C38-R38)*(1+Rates!$B$4)</f>
        <v>0</v>
      </c>
      <c r="D39" s="23">
        <f>(D38-S38+T38)*(1+Rates!$B$5)</f>
        <v>17076224.617914226</v>
      </c>
      <c r="E39" s="23">
        <f>E38*(1+Rates!$B$6)</f>
        <v>37006107.122958615</v>
      </c>
      <c r="F39" s="23">
        <f t="shared" si="0"/>
        <v>54082331.740872845</v>
      </c>
      <c r="G39" s="23">
        <f>G38*(1+Rates!$B$8)</f>
        <v>1289410.3415108551</v>
      </c>
      <c r="H39" s="23">
        <f>H38*(1+Rates!$B$9)</f>
        <v>944232.65149899188</v>
      </c>
      <c r="I39" s="23">
        <v>0</v>
      </c>
      <c r="J39" s="23">
        <f t="shared" si="1"/>
        <v>2233642.9930098471</v>
      </c>
      <c r="K39" s="23">
        <f>K38*(1+Rates!$B$10)</f>
        <v>0</v>
      </c>
      <c r="L39" s="23">
        <f>E39*Rates!$B$7</f>
        <v>740122.14245917229</v>
      </c>
      <c r="M39" s="23">
        <f>IF(A39&gt;=$B$26,IF(M38=0,$B$12*12,M38*(1+Rates!$B$10)),0)</f>
        <v>0</v>
      </c>
      <c r="N39" s="23">
        <f t="shared" si="2"/>
        <v>740122.14245917229</v>
      </c>
      <c r="O39" s="24">
        <f t="shared" si="3"/>
        <v>-1493520.8505506748</v>
      </c>
      <c r="P39" s="23">
        <f t="shared" si="4"/>
        <v>1493520.8505506748</v>
      </c>
      <c r="Q39" s="23">
        <f t="shared" si="5"/>
        <v>0</v>
      </c>
      <c r="R39" s="23">
        <f t="shared" si="6"/>
        <v>0</v>
      </c>
      <c r="S39" s="23">
        <f t="shared" si="7"/>
        <v>1493520.8505506748</v>
      </c>
      <c r="T39" s="23">
        <f t="shared" si="8"/>
        <v>0</v>
      </c>
      <c r="U39" s="25" t="str">
        <f t="shared" si="9"/>
        <v/>
      </c>
      <c r="V39" s="25" t="str">
        <f t="shared" si="10"/>
        <v/>
      </c>
    </row>
    <row r="40" spans="1:22" x14ac:dyDescent="0.2">
      <c r="A40" s="22">
        <v>11</v>
      </c>
      <c r="B40" s="26">
        <f>(B39-Q39)*( 1+Rates!$B$3)</f>
        <v>0</v>
      </c>
      <c r="C40" s="26">
        <f>(C39-R39)*(1+Rates!$B$4)</f>
        <v>0</v>
      </c>
      <c r="D40" s="26">
        <f>(D39-S39+T39)*(1+Rates!$B$5)</f>
        <v>17140974.14409991</v>
      </c>
      <c r="E40" s="26">
        <f>E39*(1+Rates!$B$6)</f>
        <v>38486351.407876961</v>
      </c>
      <c r="F40" s="26">
        <f t="shared" si="0"/>
        <v>55627325.551976874</v>
      </c>
      <c r="G40" s="26">
        <f>G39*(1+Rates!$B$8)</f>
        <v>1366774.9620015065</v>
      </c>
      <c r="H40" s="26">
        <f>H39*(1+Rates!$B$9)</f>
        <v>1010328.9371039213</v>
      </c>
      <c r="I40" s="26">
        <v>0</v>
      </c>
      <c r="J40" s="26">
        <f t="shared" si="1"/>
        <v>2377103.8991054278</v>
      </c>
      <c r="K40" s="26">
        <f>K39*(1+Rates!$B$10)</f>
        <v>0</v>
      </c>
      <c r="L40" s="26">
        <f>E40*Rates!$B$7</f>
        <v>769727.0281575392</v>
      </c>
      <c r="M40" s="26">
        <f>IF(A40&gt;=$B$26,IF(M39=0,$B$12*12,M39*(1+Rates!$B$10)),0)</f>
        <v>0</v>
      </c>
      <c r="N40" s="26">
        <f t="shared" si="2"/>
        <v>769727.0281575392</v>
      </c>
      <c r="O40" s="27">
        <f t="shared" si="3"/>
        <v>-1607376.8709478886</v>
      </c>
      <c r="P40" s="26">
        <f t="shared" si="4"/>
        <v>1607376.8709478886</v>
      </c>
      <c r="Q40" s="26">
        <f t="shared" si="5"/>
        <v>0</v>
      </c>
      <c r="R40" s="26">
        <f t="shared" si="6"/>
        <v>0</v>
      </c>
      <c r="S40" s="26">
        <f t="shared" si="7"/>
        <v>1607376.8709478886</v>
      </c>
      <c r="T40" s="26">
        <f t="shared" si="8"/>
        <v>0</v>
      </c>
      <c r="U40" s="28" t="str">
        <f t="shared" si="9"/>
        <v/>
      </c>
      <c r="V40" s="28" t="str">
        <f t="shared" si="10"/>
        <v/>
      </c>
    </row>
    <row r="41" spans="1:22" x14ac:dyDescent="0.2">
      <c r="A41" s="22">
        <v>12</v>
      </c>
      <c r="B41" s="23">
        <f>(B40-Q40)*( 1+Rates!$B$3)</f>
        <v>0</v>
      </c>
      <c r="C41" s="23">
        <f>(C40-R40)*(1+Rates!$B$4)</f>
        <v>0</v>
      </c>
      <c r="D41" s="23">
        <f>(D40-S40+T40)*(1+Rates!$B$5)</f>
        <v>17086957.000467226</v>
      </c>
      <c r="E41" s="23">
        <f>E40*(1+Rates!$B$6)</f>
        <v>40025805.46419204</v>
      </c>
      <c r="F41" s="23">
        <f t="shared" si="0"/>
        <v>57112762.464659266</v>
      </c>
      <c r="G41" s="23">
        <f>G40*(1+Rates!$B$8)</f>
        <v>1448781.4597215969</v>
      </c>
      <c r="H41" s="23">
        <f>H40*(1+Rates!$B$9)</f>
        <v>1081051.9627011959</v>
      </c>
      <c r="I41" s="23">
        <v>0</v>
      </c>
      <c r="J41" s="23">
        <f t="shared" si="1"/>
        <v>2529833.4224227928</v>
      </c>
      <c r="K41" s="23">
        <f>K40*(1+Rates!$B$10)</f>
        <v>0</v>
      </c>
      <c r="L41" s="23">
        <f>E41*Rates!$B$7</f>
        <v>800516.10928384087</v>
      </c>
      <c r="M41" s="23">
        <f>IF(A41&gt;=$B$26,IF(M40=0,$B$12*12,M40*(1+Rates!$B$10)),0)</f>
        <v>0</v>
      </c>
      <c r="N41" s="23">
        <f t="shared" si="2"/>
        <v>800516.10928384087</v>
      </c>
      <c r="O41" s="24">
        <f t="shared" si="3"/>
        <v>-1729317.313138952</v>
      </c>
      <c r="P41" s="23">
        <f t="shared" si="4"/>
        <v>1729317.313138952</v>
      </c>
      <c r="Q41" s="23">
        <f t="shared" si="5"/>
        <v>0</v>
      </c>
      <c r="R41" s="23">
        <f t="shared" si="6"/>
        <v>0</v>
      </c>
      <c r="S41" s="23">
        <f t="shared" si="7"/>
        <v>1729317.313138952</v>
      </c>
      <c r="T41" s="23">
        <f t="shared" si="8"/>
        <v>0</v>
      </c>
      <c r="U41" s="25" t="str">
        <f t="shared" si="9"/>
        <v/>
      </c>
      <c r="V41" s="25" t="str">
        <f t="shared" si="10"/>
        <v/>
      </c>
    </row>
    <row r="42" spans="1:22" x14ac:dyDescent="0.2">
      <c r="A42" s="22">
        <v>13</v>
      </c>
      <c r="B42" s="26">
        <f>(B41-Q41)*( 1+Rates!$B$3)</f>
        <v>0</v>
      </c>
      <c r="C42" s="26">
        <f>(C41-R41)*(1+Rates!$B$4)</f>
        <v>0</v>
      </c>
      <c r="D42" s="26">
        <f>(D41-S41+T41)*(1+Rates!$B$5)</f>
        <v>16893403.656061102</v>
      </c>
      <c r="E42" s="26">
        <f>E41*(1+Rates!$B$6)</f>
        <v>41626837.682759725</v>
      </c>
      <c r="F42" s="26">
        <f t="shared" si="0"/>
        <v>58520241.33882083</v>
      </c>
      <c r="G42" s="26">
        <f>G41*(1+Rates!$B$8)</f>
        <v>1535708.3473048927</v>
      </c>
      <c r="H42" s="26">
        <f>H41*(1+Rates!$B$9)</f>
        <v>1156725.6000902797</v>
      </c>
      <c r="I42" s="26">
        <v>0</v>
      </c>
      <c r="J42" s="26">
        <f t="shared" si="1"/>
        <v>2692433.9473951724</v>
      </c>
      <c r="K42" s="26">
        <f>K41*(1+Rates!$B$10)</f>
        <v>0</v>
      </c>
      <c r="L42" s="26">
        <f>E42*Rates!$B$7</f>
        <v>832536.75365519454</v>
      </c>
      <c r="M42" s="26">
        <f>IF(A42&gt;=$B$26,IF(M41=0,$B$12*12,M41*(1+Rates!$B$10)),0)</f>
        <v>0</v>
      </c>
      <c r="N42" s="26">
        <f t="shared" si="2"/>
        <v>832536.75365519454</v>
      </c>
      <c r="O42" s="27">
        <f t="shared" si="3"/>
        <v>-1859897.1937399779</v>
      </c>
      <c r="P42" s="26">
        <f t="shared" si="4"/>
        <v>1859897.1937399779</v>
      </c>
      <c r="Q42" s="26">
        <f t="shared" si="5"/>
        <v>0</v>
      </c>
      <c r="R42" s="26">
        <f t="shared" si="6"/>
        <v>0</v>
      </c>
      <c r="S42" s="26">
        <f t="shared" si="7"/>
        <v>1859897.1937399779</v>
      </c>
      <c r="T42" s="26">
        <f t="shared" si="8"/>
        <v>0</v>
      </c>
      <c r="U42" s="28" t="str">
        <f t="shared" si="9"/>
        <v/>
      </c>
      <c r="V42" s="28" t="str">
        <f t="shared" si="10"/>
        <v/>
      </c>
    </row>
    <row r="43" spans="1:22" x14ac:dyDescent="0.2">
      <c r="A43" s="22">
        <v>14</v>
      </c>
      <c r="B43" s="23">
        <f>(B42-Q42)*( 1+Rates!$B$3)</f>
        <v>0</v>
      </c>
      <c r="C43" s="23">
        <f>(C42-R42)*(1+Rates!$B$4)</f>
        <v>0</v>
      </c>
      <c r="D43" s="23">
        <f>(D42-S42+T42)*(1+Rates!$B$5)</f>
        <v>16536857.108553236</v>
      </c>
      <c r="E43" s="23">
        <f>E42*(1+Rates!$B$6)</f>
        <v>43291911.190070115</v>
      </c>
      <c r="F43" s="23">
        <f t="shared" si="0"/>
        <v>59828768.298623353</v>
      </c>
      <c r="G43" s="23">
        <f>G42*(1+Rates!$B$8)</f>
        <v>1627850.8481431864</v>
      </c>
      <c r="H43" s="23">
        <f>H42*(1+Rates!$B$9)</f>
        <v>1237696.3920965993</v>
      </c>
      <c r="I43" s="23">
        <v>0</v>
      </c>
      <c r="J43" s="23">
        <f t="shared" si="1"/>
        <v>2865547.240239786</v>
      </c>
      <c r="K43" s="23">
        <f>K42*(1+Rates!$B$10)</f>
        <v>0</v>
      </c>
      <c r="L43" s="23">
        <f>E43*Rates!$B$7</f>
        <v>865838.22380140238</v>
      </c>
      <c r="M43" s="23">
        <f>IF(A43&gt;=$B$26,IF(M42=0,$B$12*12,M42*(1+Rates!$B$10)),0)</f>
        <v>0</v>
      </c>
      <c r="N43" s="23">
        <f t="shared" si="2"/>
        <v>865838.22380140238</v>
      </c>
      <c r="O43" s="24">
        <f t="shared" si="3"/>
        <v>-1999709.0164383836</v>
      </c>
      <c r="P43" s="23">
        <f t="shared" si="4"/>
        <v>1999709.0164383836</v>
      </c>
      <c r="Q43" s="23">
        <f t="shared" si="5"/>
        <v>0</v>
      </c>
      <c r="R43" s="23">
        <f t="shared" si="6"/>
        <v>0</v>
      </c>
      <c r="S43" s="23">
        <f t="shared" si="7"/>
        <v>1999709.0164383836</v>
      </c>
      <c r="T43" s="23">
        <f t="shared" si="8"/>
        <v>0</v>
      </c>
      <c r="U43" s="25" t="str">
        <f t="shared" si="9"/>
        <v/>
      </c>
      <c r="V43" s="25" t="str">
        <f t="shared" si="10"/>
        <v/>
      </c>
    </row>
    <row r="44" spans="1:22" x14ac:dyDescent="0.2">
      <c r="A44" s="22">
        <v>15</v>
      </c>
      <c r="B44" s="26">
        <f>(B43-Q43)*( 1+Rates!$B$3)</f>
        <v>0</v>
      </c>
      <c r="C44" s="26">
        <f>(C43-R43)*(1+Rates!$B$4)</f>
        <v>0</v>
      </c>
      <c r="D44" s="26">
        <f>(D43-S43+T43)*(1+Rates!$B$5)</f>
        <v>15990862.90132634</v>
      </c>
      <c r="E44" s="26">
        <f>E43*(1+Rates!$B$6)</f>
        <v>45023587.637672924</v>
      </c>
      <c r="F44" s="26">
        <f t="shared" si="0"/>
        <v>61014450.538999259</v>
      </c>
      <c r="G44" s="26">
        <f>G43*(1+Rates!$B$8)</f>
        <v>1725521.8990317776</v>
      </c>
      <c r="H44" s="26">
        <f>H43*(1+Rates!$B$9)</f>
        <v>1324335.1395433613</v>
      </c>
      <c r="I44" s="26">
        <v>0</v>
      </c>
      <c r="J44" s="26">
        <f t="shared" si="1"/>
        <v>3049857.0385751389</v>
      </c>
      <c r="K44" s="26">
        <f>K43*(1+Rates!$B$10)</f>
        <v>0</v>
      </c>
      <c r="L44" s="26">
        <f>E44*Rates!$B$7</f>
        <v>900471.75275345845</v>
      </c>
      <c r="M44" s="26">
        <f>IF(A44&gt;=$B$26,IF(M43=0,$B$12*12,M43*(1+Rates!$B$10)),0)</f>
        <v>0</v>
      </c>
      <c r="N44" s="26">
        <f t="shared" si="2"/>
        <v>900471.75275345845</v>
      </c>
      <c r="O44" s="27">
        <f t="shared" si="3"/>
        <v>-2149385.2858216804</v>
      </c>
      <c r="P44" s="26">
        <f t="shared" si="4"/>
        <v>2149385.2858216804</v>
      </c>
      <c r="Q44" s="26">
        <f t="shared" si="5"/>
        <v>0</v>
      </c>
      <c r="R44" s="26">
        <f t="shared" si="6"/>
        <v>0</v>
      </c>
      <c r="S44" s="26">
        <f t="shared" si="7"/>
        <v>2149385.2858216804</v>
      </c>
      <c r="T44" s="26">
        <f t="shared" si="8"/>
        <v>0</v>
      </c>
      <c r="U44" s="28" t="str">
        <f t="shared" si="9"/>
        <v/>
      </c>
      <c r="V44" s="28" t="str">
        <f t="shared" si="10"/>
        <v/>
      </c>
    </row>
    <row r="45" spans="1:22" x14ac:dyDescent="0.2">
      <c r="A45" s="22">
        <v>16</v>
      </c>
      <c r="B45" s="23">
        <f>(B44-Q44)*( 1+Rates!$B$3)</f>
        <v>0</v>
      </c>
      <c r="C45" s="23">
        <f>(C44-R44)*(1+Rates!$B$4)</f>
        <v>0</v>
      </c>
      <c r="D45" s="23">
        <f>(D44-S44+T44)*(1+Rates!$B$5)</f>
        <v>15225625.377055127</v>
      </c>
      <c r="E45" s="23">
        <f>E44*(1+Rates!$B$6)</f>
        <v>46824531.143179841</v>
      </c>
      <c r="F45" s="23">
        <f t="shared" si="0"/>
        <v>62050156.520234972</v>
      </c>
      <c r="G45" s="23">
        <f>G44*(1+Rates!$B$8)</f>
        <v>1829053.2129736843</v>
      </c>
      <c r="H45" s="23">
        <f>H44*(1+Rates!$B$9)</f>
        <v>1417038.5993113967</v>
      </c>
      <c r="I45" s="23">
        <v>0</v>
      </c>
      <c r="J45" s="23">
        <f t="shared" si="1"/>
        <v>3246091.812285081</v>
      </c>
      <c r="K45" s="23">
        <f>K44*(1+Rates!$B$10)</f>
        <v>0</v>
      </c>
      <c r="L45" s="23">
        <f>E45*Rates!$B$7</f>
        <v>936490.62286359689</v>
      </c>
      <c r="M45" s="23">
        <f>IF(A45&gt;=$B$26,IF(M44=0,$B$12*12,M44*(1+Rates!$B$10)),0)</f>
        <v>0</v>
      </c>
      <c r="N45" s="23">
        <f t="shared" si="2"/>
        <v>936490.62286359689</v>
      </c>
      <c r="O45" s="24">
        <f t="shared" si="3"/>
        <v>-2309601.1894214842</v>
      </c>
      <c r="P45" s="23">
        <f t="shared" si="4"/>
        <v>2309601.1894214842</v>
      </c>
      <c r="Q45" s="23">
        <f t="shared" si="5"/>
        <v>0</v>
      </c>
      <c r="R45" s="23">
        <f t="shared" si="6"/>
        <v>0</v>
      </c>
      <c r="S45" s="23">
        <f t="shared" si="7"/>
        <v>2309601.1894214842</v>
      </c>
      <c r="T45" s="23">
        <f t="shared" si="8"/>
        <v>0</v>
      </c>
      <c r="U45" s="25" t="str">
        <f t="shared" si="9"/>
        <v/>
      </c>
      <c r="V45" s="25" t="str">
        <f t="shared" si="10"/>
        <v/>
      </c>
    </row>
    <row r="46" spans="1:22" x14ac:dyDescent="0.2">
      <c r="A46" s="22">
        <v>17</v>
      </c>
      <c r="B46" s="26">
        <f>(B45-Q45)*( 1+Rates!$B$3)</f>
        <v>0</v>
      </c>
      <c r="C46" s="26">
        <f>(C45-R45)*(1+Rates!$B$4)</f>
        <v>0</v>
      </c>
      <c r="D46" s="26">
        <f>(D45-S45+T45)*(1+Rates!$B$5)</f>
        <v>14207626.606397009</v>
      </c>
      <c r="E46" s="26">
        <f>E45*(1+Rates!$B$6)</f>
        <v>48697512.388907038</v>
      </c>
      <c r="F46" s="26">
        <f t="shared" si="0"/>
        <v>62905138.995304048</v>
      </c>
      <c r="G46" s="26">
        <f>G45*(1+Rates!$B$8)</f>
        <v>1938796.4057521054</v>
      </c>
      <c r="H46" s="26">
        <f>H45*(1+Rates!$B$9)</f>
        <v>1516231.3012631945</v>
      </c>
      <c r="I46" s="26">
        <v>0</v>
      </c>
      <c r="J46" s="26">
        <f t="shared" si="1"/>
        <v>3455027.7070153002</v>
      </c>
      <c r="K46" s="26">
        <f>K45*(1+Rates!$B$10)</f>
        <v>0</v>
      </c>
      <c r="L46" s="26">
        <f>E46*Rates!$B$7</f>
        <v>973950.24777814082</v>
      </c>
      <c r="M46" s="26">
        <f>IF(A46&gt;=$B$26,IF(M45=0,$B$12*12,M45*(1+Rates!$B$10)),0)</f>
        <v>0</v>
      </c>
      <c r="N46" s="26">
        <f t="shared" si="2"/>
        <v>973950.24777814082</v>
      </c>
      <c r="O46" s="27">
        <f t="shared" si="3"/>
        <v>-2481077.4592371592</v>
      </c>
      <c r="P46" s="26">
        <f t="shared" si="4"/>
        <v>2481077.4592371592</v>
      </c>
      <c r="Q46" s="26">
        <f t="shared" si="5"/>
        <v>0</v>
      </c>
      <c r="R46" s="26">
        <f t="shared" si="6"/>
        <v>0</v>
      </c>
      <c r="S46" s="26">
        <f t="shared" si="7"/>
        <v>2481077.4592371592</v>
      </c>
      <c r="T46" s="26">
        <f t="shared" si="8"/>
        <v>0</v>
      </c>
      <c r="U46" s="28" t="str">
        <f t="shared" si="9"/>
        <v/>
      </c>
      <c r="V46" s="28" t="str">
        <f t="shared" si="10"/>
        <v/>
      </c>
    </row>
    <row r="47" spans="1:22" x14ac:dyDescent="0.2">
      <c r="A47" s="22">
        <v>18</v>
      </c>
      <c r="B47" s="23">
        <f>(B46-Q46)*( 1+Rates!$B$3)</f>
        <v>0</v>
      </c>
      <c r="C47" s="23">
        <f>(C46-R46)*(1+Rates!$B$4)</f>
        <v>0</v>
      </c>
      <c r="D47" s="23">
        <f>(D46-S46+T46)*(1+Rates!$B$5)</f>
        <v>12899204.061875835</v>
      </c>
      <c r="E47" s="23">
        <f>E46*(1+Rates!$B$6)</f>
        <v>50645412.884463318</v>
      </c>
      <c r="F47" s="23">
        <f t="shared" si="0"/>
        <v>63544616.946339153</v>
      </c>
      <c r="G47" s="23">
        <f>G46*(1+Rates!$B$8)</f>
        <v>2055124.1900972319</v>
      </c>
      <c r="H47" s="23">
        <f>H46*(1+Rates!$B$9)</f>
        <v>1622367.4923516181</v>
      </c>
      <c r="I47" s="23">
        <v>0</v>
      </c>
      <c r="J47" s="23">
        <f t="shared" si="1"/>
        <v>3677491.68244885</v>
      </c>
      <c r="K47" s="23">
        <f>K46*(1+Rates!$B$10)</f>
        <v>0</v>
      </c>
      <c r="L47" s="23">
        <f>E47*Rates!$B$7</f>
        <v>1012908.2576892663</v>
      </c>
      <c r="M47" s="23">
        <f>IF(A47&gt;=$B$26,IF(M46=0,$B$12*12,M46*(1+Rates!$B$10)),0)</f>
        <v>0</v>
      </c>
      <c r="N47" s="23">
        <f t="shared" si="2"/>
        <v>1012908.2576892663</v>
      </c>
      <c r="O47" s="24">
        <f t="shared" si="3"/>
        <v>-2664583.4247595835</v>
      </c>
      <c r="P47" s="23">
        <f t="shared" si="4"/>
        <v>2664583.4247595835</v>
      </c>
      <c r="Q47" s="23">
        <f t="shared" si="5"/>
        <v>0</v>
      </c>
      <c r="R47" s="23">
        <f t="shared" si="6"/>
        <v>0</v>
      </c>
      <c r="S47" s="23">
        <f t="shared" si="7"/>
        <v>2664583.4247595835</v>
      </c>
      <c r="T47" s="23">
        <f t="shared" si="8"/>
        <v>0</v>
      </c>
      <c r="U47" s="25" t="str">
        <f t="shared" si="9"/>
        <v/>
      </c>
      <c r="V47" s="25" t="str">
        <f t="shared" si="10"/>
        <v/>
      </c>
    </row>
    <row r="48" spans="1:22" x14ac:dyDescent="0.2">
      <c r="A48" s="22">
        <v>19</v>
      </c>
      <c r="B48" s="26">
        <f>(B47-Q47)*( 1+Rates!$B$3)</f>
        <v>0</v>
      </c>
      <c r="C48" s="26">
        <f>(C47-R47)*(1+Rates!$B$4)</f>
        <v>0</v>
      </c>
      <c r="D48" s="26">
        <f>(D47-S47+T47)*(1+Rates!$B$5)</f>
        <v>11258082.700827878</v>
      </c>
      <c r="E48" s="26">
        <f>E47*(1+Rates!$B$6)</f>
        <v>52671229.399841852</v>
      </c>
      <c r="F48" s="26">
        <f t="shared" si="0"/>
        <v>63929312.100669727</v>
      </c>
      <c r="G48" s="26">
        <f>G47*(1+Rates!$B$8)</f>
        <v>2178431.6415030658</v>
      </c>
      <c r="H48" s="26">
        <f>H47*(1+Rates!$B$9)</f>
        <v>1735933.2168162316</v>
      </c>
      <c r="I48" s="26">
        <v>0</v>
      </c>
      <c r="J48" s="26">
        <f t="shared" si="1"/>
        <v>3914364.8583192974</v>
      </c>
      <c r="K48" s="26">
        <f>K47*(1+Rates!$B$10)</f>
        <v>0</v>
      </c>
      <c r="L48" s="26">
        <f>E48*Rates!$B$7</f>
        <v>1053424.587996837</v>
      </c>
      <c r="M48" s="26">
        <f>IF(A48&gt;=$B$26,IF(M47=0,$B$12*12,M47*(1+Rates!$B$10)),0)</f>
        <v>0</v>
      </c>
      <c r="N48" s="26">
        <f t="shared" si="2"/>
        <v>1053424.587996837</v>
      </c>
      <c r="O48" s="27">
        <f t="shared" si="3"/>
        <v>-2860940.2703224607</v>
      </c>
      <c r="P48" s="26">
        <f t="shared" si="4"/>
        <v>2860940.2703224607</v>
      </c>
      <c r="Q48" s="26">
        <f t="shared" si="5"/>
        <v>0</v>
      </c>
      <c r="R48" s="26">
        <f t="shared" si="6"/>
        <v>0</v>
      </c>
      <c r="S48" s="26">
        <f t="shared" si="7"/>
        <v>2860940.2703224607</v>
      </c>
      <c r="T48" s="26">
        <f t="shared" si="8"/>
        <v>0</v>
      </c>
      <c r="U48" s="28" t="str">
        <f t="shared" si="9"/>
        <v/>
      </c>
      <c r="V48" s="28" t="str">
        <f t="shared" si="10"/>
        <v/>
      </c>
    </row>
    <row r="49" spans="1:22" x14ac:dyDescent="0.2">
      <c r="A49" s="22">
        <v>20</v>
      </c>
      <c r="B49" s="23">
        <f>(B48-Q48)*( 1+Rates!$B$3)</f>
        <v>0</v>
      </c>
      <c r="C49" s="23">
        <f>(C48-R48)*(1+Rates!$B$4)</f>
        <v>0</v>
      </c>
      <c r="D49" s="23">
        <f>(D48-S48+T48)*(1+Rates!$B$5)</f>
        <v>9236856.673555959</v>
      </c>
      <c r="E49" s="23">
        <f>E48*(1+Rates!$B$6)</f>
        <v>54778078.575835526</v>
      </c>
      <c r="F49" s="23">
        <f t="shared" si="0"/>
        <v>64014935.249391481</v>
      </c>
      <c r="G49" s="23">
        <f>G48*(1+Rates!$B$8)</f>
        <v>2309137.5399932498</v>
      </c>
      <c r="H49" s="23">
        <f>H48*(1+Rates!$B$9)</f>
        <v>1857448.541993368</v>
      </c>
      <c r="I49" s="23">
        <v>0</v>
      </c>
      <c r="J49" s="23">
        <f t="shared" si="1"/>
        <v>4166586.0819866178</v>
      </c>
      <c r="K49" s="23">
        <f>K48*(1+Rates!$B$10)</f>
        <v>0</v>
      </c>
      <c r="L49" s="23">
        <f>E49*Rates!$B$7</f>
        <v>1095561.5715167106</v>
      </c>
      <c r="M49" s="23">
        <f>IF(A49&gt;=$B$26,IF(M48=0,$B$12*12,M48*(1+Rates!$B$10)),0)</f>
        <v>0</v>
      </c>
      <c r="N49" s="23">
        <f t="shared" si="2"/>
        <v>1095561.5715167106</v>
      </c>
      <c r="O49" s="24">
        <f t="shared" si="3"/>
        <v>-3071024.510469907</v>
      </c>
      <c r="P49" s="23">
        <f t="shared" si="4"/>
        <v>3071024.510469907</v>
      </c>
      <c r="Q49" s="23">
        <f t="shared" si="5"/>
        <v>0</v>
      </c>
      <c r="R49" s="23">
        <f t="shared" si="6"/>
        <v>0</v>
      </c>
      <c r="S49" s="23">
        <f t="shared" si="7"/>
        <v>3071024.510469907</v>
      </c>
      <c r="T49" s="23">
        <f t="shared" si="8"/>
        <v>0</v>
      </c>
      <c r="U49" s="25" t="str">
        <f t="shared" si="9"/>
        <v/>
      </c>
      <c r="V49" s="25" t="str">
        <f t="shared" si="10"/>
        <v/>
      </c>
    </row>
    <row r="51" spans="1:22" x14ac:dyDescent="0.2">
      <c r="A51" s="31" t="s">
        <v>190</v>
      </c>
      <c r="B51" s="32"/>
      <c r="C51" s="32"/>
      <c r="D51" s="32"/>
      <c r="E51" s="32"/>
      <c r="F51" s="33"/>
    </row>
    <row r="52" spans="1:22" x14ac:dyDescent="0.2">
      <c r="A52" s="7" t="s">
        <v>191</v>
      </c>
      <c r="B52" s="18">
        <f>F49</f>
        <v>64014935.249391481</v>
      </c>
    </row>
    <row r="53" spans="1:22" x14ac:dyDescent="0.2">
      <c r="A53" s="7" t="s">
        <v>192</v>
      </c>
      <c r="B53" s="17" t="str">
        <f>IFERROR(INDEX(A29:A49,MATCH("✓",U29:U49,0)),"Never")</f>
        <v>Never</v>
      </c>
    </row>
    <row r="54" spans="1:22" ht="30" x14ac:dyDescent="0.2">
      <c r="A54" s="7" t="s">
        <v>193</v>
      </c>
      <c r="B54" s="17" t="str">
        <f>IF(F49&gt;B17*12*5,"YES","NO")</f>
        <v>YES</v>
      </c>
    </row>
    <row r="55" spans="1:22" x14ac:dyDescent="0.2">
      <c r="A55" s="7" t="s">
        <v>194</v>
      </c>
      <c r="B55" s="17" t="str">
        <f>IFERROR(INDEX(A29:A49,MATCH("✗",V29:V49,0)),"Not depleted in 20 yrs")</f>
        <v>Not depleted in 20 yrs</v>
      </c>
    </row>
  </sheetData>
  <mergeCells count="3">
    <mergeCell ref="A51:F51"/>
    <mergeCell ref="A1:F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7"/>
  <sheetViews>
    <sheetView showGridLines="0" workbookViewId="0"/>
  </sheetViews>
  <sheetFormatPr baseColWidth="10" defaultColWidth="8.83203125" defaultRowHeight="15" x14ac:dyDescent="0.2"/>
  <cols>
    <col min="1" max="1" width="6" customWidth="1"/>
    <col min="2" max="8" width="14" customWidth="1"/>
    <col min="9" max="9" width="12" customWidth="1"/>
    <col min="10" max="11" width="14" customWidth="1"/>
    <col min="12" max="12" width="12" customWidth="1"/>
    <col min="13" max="15" width="14" customWidth="1"/>
    <col min="16" max="20" width="12" customWidth="1"/>
    <col min="21" max="22" width="9" customWidth="1"/>
  </cols>
  <sheetData>
    <row r="1" spans="1:6" x14ac:dyDescent="0.2">
      <c r="A1" s="31" t="s">
        <v>195</v>
      </c>
      <c r="B1" s="32"/>
      <c r="C1" s="32"/>
      <c r="D1" s="32"/>
      <c r="E1" s="32"/>
      <c r="F1" s="33"/>
    </row>
    <row r="2" spans="1:6" x14ac:dyDescent="0.2">
      <c r="A2" s="7" t="s">
        <v>59</v>
      </c>
      <c r="B2" s="7" t="s">
        <v>78</v>
      </c>
      <c r="C2" s="7" t="s">
        <v>33</v>
      </c>
    </row>
    <row r="3" spans="1:6" ht="75" x14ac:dyDescent="0.2">
      <c r="A3" s="7" t="s">
        <v>61</v>
      </c>
      <c r="B3" s="10">
        <v>80000</v>
      </c>
      <c r="C3" s="7" t="s">
        <v>112</v>
      </c>
    </row>
    <row r="4" spans="1:6" ht="45" x14ac:dyDescent="0.2">
      <c r="A4" s="7" t="s">
        <v>143</v>
      </c>
      <c r="B4" s="10">
        <v>2000000</v>
      </c>
      <c r="C4" s="7" t="s">
        <v>196</v>
      </c>
    </row>
    <row r="5" spans="1:6" ht="60" x14ac:dyDescent="0.2">
      <c r="A5" s="7" t="s">
        <v>145</v>
      </c>
      <c r="B5" s="10">
        <v>500000</v>
      </c>
      <c r="C5" s="7" t="s">
        <v>197</v>
      </c>
    </row>
    <row r="6" spans="1:6" ht="45" x14ac:dyDescent="0.2">
      <c r="A6" s="7" t="s">
        <v>146</v>
      </c>
      <c r="B6" s="10">
        <v>1500000</v>
      </c>
      <c r="C6" s="7" t="s">
        <v>39</v>
      </c>
    </row>
    <row r="7" spans="1:6" ht="45" x14ac:dyDescent="0.2">
      <c r="A7" s="7" t="s">
        <v>148</v>
      </c>
      <c r="B7" s="12">
        <v>0</v>
      </c>
      <c r="C7" s="7" t="s">
        <v>198</v>
      </c>
    </row>
    <row r="8" spans="1:6" ht="90" x14ac:dyDescent="0.2">
      <c r="A8" s="7" t="s">
        <v>68</v>
      </c>
      <c r="B8" s="12">
        <v>0</v>
      </c>
      <c r="C8" s="7" t="s">
        <v>150</v>
      </c>
    </row>
    <row r="9" spans="1:6" ht="75" x14ac:dyDescent="0.2">
      <c r="A9" s="7" t="s">
        <v>70</v>
      </c>
      <c r="B9" s="12">
        <v>6</v>
      </c>
      <c r="C9" s="7" t="s">
        <v>151</v>
      </c>
    </row>
    <row r="10" spans="1:6" ht="60" x14ac:dyDescent="0.2">
      <c r="A10" s="7" t="s">
        <v>74</v>
      </c>
      <c r="B10" s="12">
        <v>0</v>
      </c>
      <c r="C10" s="7" t="s">
        <v>199</v>
      </c>
    </row>
    <row r="11" spans="1:6" ht="30" x14ac:dyDescent="0.2">
      <c r="A11" s="7" t="s">
        <v>108</v>
      </c>
      <c r="B11" s="12">
        <v>50</v>
      </c>
      <c r="C11" s="7" t="s">
        <v>109</v>
      </c>
    </row>
    <row r="12" spans="1:6" ht="45" x14ac:dyDescent="0.2">
      <c r="A12" s="7" t="s">
        <v>110</v>
      </c>
      <c r="B12" s="12">
        <v>60</v>
      </c>
      <c r="C12" s="7" t="s">
        <v>109</v>
      </c>
    </row>
    <row r="13" spans="1:6" ht="45" x14ac:dyDescent="0.2">
      <c r="A13" s="7" t="s">
        <v>111</v>
      </c>
      <c r="B13" s="12">
        <v>85</v>
      </c>
      <c r="C13" s="7" t="s">
        <v>109</v>
      </c>
    </row>
    <row r="14" spans="1:6" ht="60" x14ac:dyDescent="0.2">
      <c r="A14" s="7" t="s">
        <v>200</v>
      </c>
      <c r="B14" s="12">
        <v>0</v>
      </c>
      <c r="C14" s="7" t="s">
        <v>201</v>
      </c>
    </row>
    <row r="15" spans="1:6" ht="45" x14ac:dyDescent="0.2">
      <c r="A15" s="7" t="s">
        <v>202</v>
      </c>
      <c r="B15" s="12">
        <v>60</v>
      </c>
      <c r="C15" s="7" t="s">
        <v>203</v>
      </c>
    </row>
    <row r="16" spans="1:6" ht="60" x14ac:dyDescent="0.2">
      <c r="A16" s="7" t="s">
        <v>204</v>
      </c>
      <c r="B16" s="12">
        <v>0</v>
      </c>
      <c r="C16" s="7" t="s">
        <v>205</v>
      </c>
    </row>
    <row r="18" spans="1:22" x14ac:dyDescent="0.2">
      <c r="A18" s="31" t="s">
        <v>206</v>
      </c>
      <c r="B18" s="32"/>
      <c r="C18" s="32"/>
      <c r="D18" s="32"/>
      <c r="E18" s="32"/>
      <c r="F18" s="33"/>
    </row>
    <row r="19" spans="1:22" ht="90" x14ac:dyDescent="0.2">
      <c r="A19" s="7" t="s">
        <v>80</v>
      </c>
      <c r="B19" s="18">
        <f>B3*Rates!$B$13</f>
        <v>48000</v>
      </c>
      <c r="C19" s="7" t="s">
        <v>81</v>
      </c>
    </row>
    <row r="20" spans="1:22" ht="45" x14ac:dyDescent="0.2">
      <c r="A20" s="7" t="s">
        <v>161</v>
      </c>
      <c r="B20" s="18">
        <f>B19*B9</f>
        <v>288000</v>
      </c>
    </row>
    <row r="21" spans="1:22" ht="45" x14ac:dyDescent="0.2">
      <c r="A21" s="7" t="s">
        <v>162</v>
      </c>
      <c r="B21" s="18">
        <f>MAX(0,B4-MIN(B4,B20+B10))</f>
        <v>1712000</v>
      </c>
    </row>
    <row r="22" spans="1:22" ht="45" x14ac:dyDescent="0.2">
      <c r="A22" s="7" t="s">
        <v>164</v>
      </c>
      <c r="B22" s="18">
        <f>MAX(0,B5-MIN(B5,MAX(0,B20+B10-B4)))</f>
        <v>500000</v>
      </c>
    </row>
    <row r="23" spans="1:22" ht="30" x14ac:dyDescent="0.2">
      <c r="A23" s="7" t="s">
        <v>84</v>
      </c>
      <c r="B23" s="18">
        <f>B4+B5+B6+B7</f>
        <v>4000000</v>
      </c>
    </row>
    <row r="24" spans="1:22" ht="60" x14ac:dyDescent="0.2">
      <c r="A24" s="7" t="s">
        <v>207</v>
      </c>
      <c r="B24" s="18">
        <f>B3*12*25</f>
        <v>24000000</v>
      </c>
    </row>
    <row r="25" spans="1:22" ht="60" x14ac:dyDescent="0.2">
      <c r="A25" s="7" t="s">
        <v>118</v>
      </c>
      <c r="B25" s="20">
        <f>MAX(0,B12-B11)</f>
        <v>10</v>
      </c>
    </row>
    <row r="26" spans="1:22" ht="60" x14ac:dyDescent="0.2">
      <c r="A26" s="7" t="s">
        <v>208</v>
      </c>
      <c r="B26" s="20">
        <f>MAX(0,B15-B11)</f>
        <v>10</v>
      </c>
      <c r="C26" s="7" t="s">
        <v>209</v>
      </c>
    </row>
    <row r="27" spans="1:22" ht="60" x14ac:dyDescent="0.2">
      <c r="A27" s="7" t="s">
        <v>210</v>
      </c>
      <c r="B27" s="20">
        <f>B25</f>
        <v>10</v>
      </c>
    </row>
    <row r="29" spans="1:22" ht="32" customHeight="1" x14ac:dyDescent="0.2">
      <c r="A29" s="21" t="s">
        <v>169</v>
      </c>
      <c r="B29" s="21" t="s">
        <v>170</v>
      </c>
      <c r="C29" s="21" t="s">
        <v>171</v>
      </c>
      <c r="D29" s="21" t="s">
        <v>172</v>
      </c>
      <c r="E29" s="21" t="s">
        <v>173</v>
      </c>
      <c r="F29" s="21" t="s">
        <v>84</v>
      </c>
      <c r="G29" s="21" t="s">
        <v>174</v>
      </c>
      <c r="H29" s="21" t="s">
        <v>175</v>
      </c>
      <c r="I29" s="21" t="s">
        <v>176</v>
      </c>
      <c r="J29" s="21" t="s">
        <v>177</v>
      </c>
      <c r="K29" s="21" t="s">
        <v>178</v>
      </c>
      <c r="L29" s="21" t="s">
        <v>179</v>
      </c>
      <c r="M29" s="21" t="s">
        <v>180</v>
      </c>
      <c r="N29" s="21" t="s">
        <v>181</v>
      </c>
      <c r="O29" s="21" t="s">
        <v>182</v>
      </c>
      <c r="P29" s="21" t="s">
        <v>183</v>
      </c>
      <c r="Q29" s="21" t="s">
        <v>184</v>
      </c>
      <c r="R29" s="21" t="s">
        <v>185</v>
      </c>
      <c r="S29" s="21" t="s">
        <v>186</v>
      </c>
      <c r="T29" s="21" t="s">
        <v>187</v>
      </c>
      <c r="U29" s="21" t="s">
        <v>188</v>
      </c>
      <c r="V29" s="21" t="s">
        <v>189</v>
      </c>
    </row>
    <row r="30" spans="1:22" x14ac:dyDescent="0.2">
      <c r="A30" s="22">
        <v>0</v>
      </c>
      <c r="B30" s="23">
        <f>B21</f>
        <v>1712000</v>
      </c>
      <c r="C30" s="23">
        <f>B22</f>
        <v>500000</v>
      </c>
      <c r="D30" s="23">
        <f>$B$6</f>
        <v>1500000</v>
      </c>
      <c r="E30" s="23">
        <f>$B$7</f>
        <v>0</v>
      </c>
      <c r="F30" s="23">
        <f t="shared" ref="F30:F50" si="0">B30+C30+D30+E30</f>
        <v>3712000</v>
      </c>
      <c r="G30" s="23">
        <f>B19*12</f>
        <v>576000</v>
      </c>
      <c r="H30" s="23">
        <f>B3*Rates!$B$14*12</f>
        <v>384000</v>
      </c>
      <c r="I30" s="23">
        <v>0</v>
      </c>
      <c r="J30" s="23">
        <f t="shared" ref="J30:J50" si="1">G30+H30+I30</f>
        <v>960000</v>
      </c>
      <c r="K30" s="23">
        <f>$B$8*12</f>
        <v>0</v>
      </c>
      <c r="L30" s="23">
        <f>E30*Rates!$B$7</f>
        <v>0</v>
      </c>
      <c r="M30" s="23">
        <f>IF(A30&gt;=$B$26,$B$14*12,0)</f>
        <v>0</v>
      </c>
      <c r="N30" s="23">
        <f t="shared" ref="N30:N50" si="2">K30+L30+M30</f>
        <v>0</v>
      </c>
      <c r="O30" s="24">
        <f t="shared" ref="O30:O50" si="3">N30-J30</f>
        <v>-960000</v>
      </c>
      <c r="P30" s="23">
        <f t="shared" ref="P30:P50" si="4">MAX(0,-O30)</f>
        <v>960000</v>
      </c>
      <c r="Q30" s="23">
        <f t="shared" ref="Q30:Q50" si="5">MIN(B30,P30)</f>
        <v>960000</v>
      </c>
      <c r="R30" s="23">
        <f t="shared" ref="R30:R50" si="6">MIN(C30,MAX(0,P30-Q30))</f>
        <v>0</v>
      </c>
      <c r="S30" s="23">
        <f t="shared" ref="S30:S50" si="7">MAX(0,P30-Q30-R30)</f>
        <v>0</v>
      </c>
      <c r="T30" s="23">
        <f t="shared" ref="T30:T50" si="8">MAX(0,O30)</f>
        <v>0</v>
      </c>
      <c r="U30" s="25" t="str">
        <f t="shared" ref="U30:U50" si="9">IF(N30&gt;=J30,"✓","")</f>
        <v/>
      </c>
      <c r="V30" s="25" t="str">
        <f t="shared" ref="V30:V50" si="10">IF(F30&lt;=0,"✗","")</f>
        <v/>
      </c>
    </row>
    <row r="31" spans="1:22" x14ac:dyDescent="0.2">
      <c r="A31" s="22">
        <v>1</v>
      </c>
      <c r="B31" s="26">
        <f>(B30-Q30)*(1+Rates!$B$3)</f>
        <v>789600</v>
      </c>
      <c r="C31" s="26">
        <f>(C30-R30)*(1+Rates!$B$4)</f>
        <v>540000</v>
      </c>
      <c r="D31" s="26">
        <f>(D30-S30+T30+IF(A31=$B$27,$B$16,0))*(1+Rates!$B$5)</f>
        <v>1650000.0000000002</v>
      </c>
      <c r="E31" s="26">
        <f>E30*(1+Rates!$B$6)</f>
        <v>0</v>
      </c>
      <c r="F31" s="26">
        <f t="shared" si="0"/>
        <v>2979600</v>
      </c>
      <c r="G31" s="26">
        <f>G30*(1+Rates!$B$8)</f>
        <v>610560</v>
      </c>
      <c r="H31" s="26">
        <f>H30*(1+Rates!$B$9)</f>
        <v>410880</v>
      </c>
      <c r="I31" s="26">
        <v>0</v>
      </c>
      <c r="J31" s="26">
        <f t="shared" si="1"/>
        <v>1021440</v>
      </c>
      <c r="K31" s="26">
        <f>K30*(1+Rates!$B$10)</f>
        <v>0</v>
      </c>
      <c r="L31" s="26">
        <f>E31*Rates!$B$7</f>
        <v>0</v>
      </c>
      <c r="M31" s="26">
        <f>IF(A31&gt;=$B$26,IF(M30=0,$B$14*12,M30*(1+Rates!$B$12)),0)</f>
        <v>0</v>
      </c>
      <c r="N31" s="26">
        <f t="shared" si="2"/>
        <v>0</v>
      </c>
      <c r="O31" s="27">
        <f t="shared" si="3"/>
        <v>-1021440</v>
      </c>
      <c r="P31" s="26">
        <f t="shared" si="4"/>
        <v>1021440</v>
      </c>
      <c r="Q31" s="26">
        <f t="shared" si="5"/>
        <v>789600</v>
      </c>
      <c r="R31" s="26">
        <f t="shared" si="6"/>
        <v>231840</v>
      </c>
      <c r="S31" s="26">
        <f t="shared" si="7"/>
        <v>0</v>
      </c>
      <c r="T31" s="26">
        <f t="shared" si="8"/>
        <v>0</v>
      </c>
      <c r="U31" s="28" t="str">
        <f t="shared" si="9"/>
        <v/>
      </c>
      <c r="V31" s="28" t="str">
        <f t="shared" si="10"/>
        <v/>
      </c>
    </row>
    <row r="32" spans="1:22" x14ac:dyDescent="0.2">
      <c r="A32" s="22">
        <v>2</v>
      </c>
      <c r="B32" s="23">
        <f>(B31-Q31)*(1+Rates!$B$3)</f>
        <v>0</v>
      </c>
      <c r="C32" s="23">
        <f>(C31-R31)*(1+Rates!$B$4)</f>
        <v>332812.80000000005</v>
      </c>
      <c r="D32" s="23">
        <f>(D31-S31+T31+IF(A32=$B$27,$B$16,0))*(1+Rates!$B$5)</f>
        <v>1815000.0000000005</v>
      </c>
      <c r="E32" s="23">
        <f>E31*(1+Rates!$B$6)</f>
        <v>0</v>
      </c>
      <c r="F32" s="23">
        <f t="shared" si="0"/>
        <v>2147812.8000000007</v>
      </c>
      <c r="G32" s="23">
        <f>G31*(1+Rates!$B$8)</f>
        <v>647193.59999999998</v>
      </c>
      <c r="H32" s="23">
        <f>H31*(1+Rates!$B$9)</f>
        <v>439641.60000000003</v>
      </c>
      <c r="I32" s="23">
        <v>0</v>
      </c>
      <c r="J32" s="23">
        <f t="shared" si="1"/>
        <v>1086835.2</v>
      </c>
      <c r="K32" s="23">
        <f>K31*(1+Rates!$B$10)</f>
        <v>0</v>
      </c>
      <c r="L32" s="23">
        <f>E32*Rates!$B$7</f>
        <v>0</v>
      </c>
      <c r="M32" s="23">
        <f>IF(A32&gt;=$B$26,IF(M31=0,$B$14*12,M31*(1+Rates!$B$12)),0)</f>
        <v>0</v>
      </c>
      <c r="N32" s="23">
        <f t="shared" si="2"/>
        <v>0</v>
      </c>
      <c r="O32" s="24">
        <f t="shared" si="3"/>
        <v>-1086835.2</v>
      </c>
      <c r="P32" s="23">
        <f t="shared" si="4"/>
        <v>1086835.2</v>
      </c>
      <c r="Q32" s="23">
        <f t="shared" si="5"/>
        <v>0</v>
      </c>
      <c r="R32" s="23">
        <f t="shared" si="6"/>
        <v>332812.80000000005</v>
      </c>
      <c r="S32" s="23">
        <f t="shared" si="7"/>
        <v>754022.39999999991</v>
      </c>
      <c r="T32" s="23">
        <f t="shared" si="8"/>
        <v>0</v>
      </c>
      <c r="U32" s="25" t="str">
        <f t="shared" si="9"/>
        <v/>
      </c>
      <c r="V32" s="25" t="str">
        <f t="shared" si="10"/>
        <v/>
      </c>
    </row>
    <row r="33" spans="1:22" x14ac:dyDescent="0.2">
      <c r="A33" s="22">
        <v>3</v>
      </c>
      <c r="B33" s="26">
        <f>(B32-Q32)*(1+Rates!$B$3)</f>
        <v>0</v>
      </c>
      <c r="C33" s="26">
        <f>(C32-R32)*(1+Rates!$B$4)</f>
        <v>0</v>
      </c>
      <c r="D33" s="26">
        <f>(D32-S32+T32+IF(A33=$B$27,$B$16,0))*(1+Rates!$B$5)</f>
        <v>1167075.3600000008</v>
      </c>
      <c r="E33" s="26">
        <f>E32*(1+Rates!$B$6)</f>
        <v>0</v>
      </c>
      <c r="F33" s="26">
        <f t="shared" si="0"/>
        <v>1167075.3600000008</v>
      </c>
      <c r="G33" s="26">
        <f>G32*(1+Rates!$B$8)</f>
        <v>686025.21600000001</v>
      </c>
      <c r="H33" s="26">
        <f>H32*(1+Rates!$B$9)</f>
        <v>470416.51200000005</v>
      </c>
      <c r="I33" s="26">
        <v>0</v>
      </c>
      <c r="J33" s="26">
        <f t="shared" si="1"/>
        <v>1156441.7280000001</v>
      </c>
      <c r="K33" s="26">
        <f>K32*(1+Rates!$B$10)</f>
        <v>0</v>
      </c>
      <c r="L33" s="26">
        <f>E33*Rates!$B$7</f>
        <v>0</v>
      </c>
      <c r="M33" s="26">
        <f>IF(A33&gt;=$B$26,IF(M32=0,$B$14*12,M32*(1+Rates!$B$12)),0)</f>
        <v>0</v>
      </c>
      <c r="N33" s="26">
        <f t="shared" si="2"/>
        <v>0</v>
      </c>
      <c r="O33" s="27">
        <f t="shared" si="3"/>
        <v>-1156441.7280000001</v>
      </c>
      <c r="P33" s="26">
        <f t="shared" si="4"/>
        <v>1156441.7280000001</v>
      </c>
      <c r="Q33" s="26">
        <f t="shared" si="5"/>
        <v>0</v>
      </c>
      <c r="R33" s="26">
        <f t="shared" si="6"/>
        <v>0</v>
      </c>
      <c r="S33" s="26">
        <f t="shared" si="7"/>
        <v>1156441.7280000001</v>
      </c>
      <c r="T33" s="26">
        <f t="shared" si="8"/>
        <v>0</v>
      </c>
      <c r="U33" s="28" t="str">
        <f t="shared" si="9"/>
        <v/>
      </c>
      <c r="V33" s="28" t="str">
        <f t="shared" si="10"/>
        <v/>
      </c>
    </row>
    <row r="34" spans="1:22" x14ac:dyDescent="0.2">
      <c r="A34" s="22">
        <v>4</v>
      </c>
      <c r="B34" s="23">
        <f>(B33-Q33)*(1+Rates!$B$3)</f>
        <v>0</v>
      </c>
      <c r="C34" s="23">
        <f>(C33-R33)*(1+Rates!$B$4)</f>
        <v>0</v>
      </c>
      <c r="D34" s="23">
        <f>(D33-S33+T33+IF(A34=$B$27,$B$16,0))*(1+Rates!$B$5)</f>
        <v>11696.995200000751</v>
      </c>
      <c r="E34" s="23">
        <f>E33*(1+Rates!$B$6)</f>
        <v>0</v>
      </c>
      <c r="F34" s="23">
        <f t="shared" si="0"/>
        <v>11696.995200000751</v>
      </c>
      <c r="G34" s="23">
        <f>G33*(1+Rates!$B$8)</f>
        <v>727186.72896000009</v>
      </c>
      <c r="H34" s="23">
        <f>H33*(1+Rates!$B$9)</f>
        <v>503345.66784000007</v>
      </c>
      <c r="I34" s="23">
        <v>0</v>
      </c>
      <c r="J34" s="23">
        <f t="shared" si="1"/>
        <v>1230532.3968000002</v>
      </c>
      <c r="K34" s="23">
        <f>K33*(1+Rates!$B$10)</f>
        <v>0</v>
      </c>
      <c r="L34" s="23">
        <f>E34*Rates!$B$7</f>
        <v>0</v>
      </c>
      <c r="M34" s="23">
        <f>IF(A34&gt;=$B$26,IF(M33=0,$B$14*12,M33*(1+Rates!$B$12)),0)</f>
        <v>0</v>
      </c>
      <c r="N34" s="23">
        <f t="shared" si="2"/>
        <v>0</v>
      </c>
      <c r="O34" s="24">
        <f t="shared" si="3"/>
        <v>-1230532.3968000002</v>
      </c>
      <c r="P34" s="23">
        <f t="shared" si="4"/>
        <v>1230532.3968000002</v>
      </c>
      <c r="Q34" s="23">
        <f t="shared" si="5"/>
        <v>0</v>
      </c>
      <c r="R34" s="23">
        <f t="shared" si="6"/>
        <v>0</v>
      </c>
      <c r="S34" s="23">
        <f t="shared" si="7"/>
        <v>1230532.3968000002</v>
      </c>
      <c r="T34" s="23">
        <f t="shared" si="8"/>
        <v>0</v>
      </c>
      <c r="U34" s="25" t="str">
        <f t="shared" si="9"/>
        <v/>
      </c>
      <c r="V34" s="25" t="str">
        <f t="shared" si="10"/>
        <v/>
      </c>
    </row>
    <row r="35" spans="1:22" x14ac:dyDescent="0.2">
      <c r="A35" s="22">
        <v>5</v>
      </c>
      <c r="B35" s="26">
        <f>(B34-Q34)*(1+Rates!$B$3)</f>
        <v>0</v>
      </c>
      <c r="C35" s="26">
        <f>(C34-R34)*(1+Rates!$B$4)</f>
        <v>0</v>
      </c>
      <c r="D35" s="26">
        <f>(D34-S34+T34+IF(A35=$B$27,$B$16,0))*(1+Rates!$B$5)</f>
        <v>-1340718.9417599996</v>
      </c>
      <c r="E35" s="26">
        <f>E34*(1+Rates!$B$6)</f>
        <v>0</v>
      </c>
      <c r="F35" s="26">
        <f t="shared" si="0"/>
        <v>-1340718.9417599996</v>
      </c>
      <c r="G35" s="26">
        <f>G34*(1+Rates!$B$8)</f>
        <v>770817.9326976001</v>
      </c>
      <c r="H35" s="26">
        <f>H34*(1+Rates!$B$9)</f>
        <v>538579.86458880012</v>
      </c>
      <c r="I35" s="26">
        <v>0</v>
      </c>
      <c r="J35" s="26">
        <f t="shared" si="1"/>
        <v>1309397.7972864001</v>
      </c>
      <c r="K35" s="26">
        <f>K34*(1+Rates!$B$10)</f>
        <v>0</v>
      </c>
      <c r="L35" s="26">
        <f>E35*Rates!$B$7</f>
        <v>0</v>
      </c>
      <c r="M35" s="26">
        <f>IF(A35&gt;=$B$26,IF(M34=0,$B$14*12,M34*(1+Rates!$B$12)),0)</f>
        <v>0</v>
      </c>
      <c r="N35" s="26">
        <f t="shared" si="2"/>
        <v>0</v>
      </c>
      <c r="O35" s="27">
        <f t="shared" si="3"/>
        <v>-1309397.7972864001</v>
      </c>
      <c r="P35" s="26">
        <f t="shared" si="4"/>
        <v>1309397.7972864001</v>
      </c>
      <c r="Q35" s="26">
        <f t="shared" si="5"/>
        <v>0</v>
      </c>
      <c r="R35" s="26">
        <f t="shared" si="6"/>
        <v>0</v>
      </c>
      <c r="S35" s="26">
        <f t="shared" si="7"/>
        <v>1309397.7972864001</v>
      </c>
      <c r="T35" s="26">
        <f t="shared" si="8"/>
        <v>0</v>
      </c>
      <c r="U35" s="28" t="str">
        <f t="shared" si="9"/>
        <v/>
      </c>
      <c r="V35" s="28" t="str">
        <f t="shared" si="10"/>
        <v>✗</v>
      </c>
    </row>
    <row r="36" spans="1:22" x14ac:dyDescent="0.2">
      <c r="A36" s="22">
        <v>6</v>
      </c>
      <c r="B36" s="23">
        <f>(B35-Q35)*(1+Rates!$B$3)</f>
        <v>0</v>
      </c>
      <c r="C36" s="23">
        <f>(C35-R35)*(1+Rates!$B$4)</f>
        <v>0</v>
      </c>
      <c r="D36" s="23">
        <f>(D35-S35+T35+IF(A36=$B$27,$B$16,0))*(1+Rates!$B$5)</f>
        <v>-2915128.4129510396</v>
      </c>
      <c r="E36" s="23">
        <f>E35*(1+Rates!$B$6)</f>
        <v>0</v>
      </c>
      <c r="F36" s="23">
        <f t="shared" si="0"/>
        <v>-2915128.4129510396</v>
      </c>
      <c r="G36" s="23">
        <f>G35*(1+Rates!$B$8)</f>
        <v>817067.00865945616</v>
      </c>
      <c r="H36" s="23">
        <f>H35*(1+Rates!$B$9)</f>
        <v>576280.45511001616</v>
      </c>
      <c r="I36" s="23">
        <v>0</v>
      </c>
      <c r="J36" s="23">
        <f t="shared" si="1"/>
        <v>1393347.4637694722</v>
      </c>
      <c r="K36" s="23">
        <f>K35*(1+Rates!$B$10)</f>
        <v>0</v>
      </c>
      <c r="L36" s="23">
        <f>E36*Rates!$B$7</f>
        <v>0</v>
      </c>
      <c r="M36" s="23">
        <f>IF(A36&gt;=$B$26,IF(M35=0,$B$14*12,M35*(1+Rates!$B$12)),0)</f>
        <v>0</v>
      </c>
      <c r="N36" s="23">
        <f t="shared" si="2"/>
        <v>0</v>
      </c>
      <c r="O36" s="24">
        <f t="shared" si="3"/>
        <v>-1393347.4637694722</v>
      </c>
      <c r="P36" s="23">
        <f t="shared" si="4"/>
        <v>1393347.4637694722</v>
      </c>
      <c r="Q36" s="23">
        <f t="shared" si="5"/>
        <v>0</v>
      </c>
      <c r="R36" s="23">
        <f t="shared" si="6"/>
        <v>0</v>
      </c>
      <c r="S36" s="23">
        <f t="shared" si="7"/>
        <v>1393347.4637694722</v>
      </c>
      <c r="T36" s="23">
        <f t="shared" si="8"/>
        <v>0</v>
      </c>
      <c r="U36" s="25" t="str">
        <f t="shared" si="9"/>
        <v/>
      </c>
      <c r="V36" s="25" t="str">
        <f t="shared" si="10"/>
        <v>✗</v>
      </c>
    </row>
    <row r="37" spans="1:22" x14ac:dyDescent="0.2">
      <c r="A37" s="22">
        <v>7</v>
      </c>
      <c r="B37" s="26">
        <f>(B36-Q36)*(1+Rates!$B$3)</f>
        <v>0</v>
      </c>
      <c r="C37" s="26">
        <f>(C36-R36)*(1+Rates!$B$4)</f>
        <v>0</v>
      </c>
      <c r="D37" s="26">
        <f>(D36-S36+T36+IF(A37=$B$27,$B$16,0))*(1+Rates!$B$5)</f>
        <v>-4739323.4643925643</v>
      </c>
      <c r="E37" s="26">
        <f>E36*(1+Rates!$B$6)</f>
        <v>0</v>
      </c>
      <c r="F37" s="26">
        <f t="shared" si="0"/>
        <v>-4739323.4643925643</v>
      </c>
      <c r="G37" s="26">
        <f>G36*(1+Rates!$B$8)</f>
        <v>866091.02917902358</v>
      </c>
      <c r="H37" s="26">
        <f>H36*(1+Rates!$B$9)</f>
        <v>616620.08696771727</v>
      </c>
      <c r="I37" s="26">
        <v>0</v>
      </c>
      <c r="J37" s="26">
        <f t="shared" si="1"/>
        <v>1482711.116146741</v>
      </c>
      <c r="K37" s="26">
        <f>K36*(1+Rates!$B$10)</f>
        <v>0</v>
      </c>
      <c r="L37" s="26">
        <f>E37*Rates!$B$7</f>
        <v>0</v>
      </c>
      <c r="M37" s="26">
        <f>IF(A37&gt;=$B$26,IF(M36=0,$B$14*12,M36*(1+Rates!$B$12)),0)</f>
        <v>0</v>
      </c>
      <c r="N37" s="26">
        <f t="shared" si="2"/>
        <v>0</v>
      </c>
      <c r="O37" s="27">
        <f t="shared" si="3"/>
        <v>-1482711.116146741</v>
      </c>
      <c r="P37" s="26">
        <f t="shared" si="4"/>
        <v>1482711.116146741</v>
      </c>
      <c r="Q37" s="26">
        <f t="shared" si="5"/>
        <v>0</v>
      </c>
      <c r="R37" s="26">
        <f t="shared" si="6"/>
        <v>0</v>
      </c>
      <c r="S37" s="26">
        <f t="shared" si="7"/>
        <v>1482711.116146741</v>
      </c>
      <c r="T37" s="26">
        <f t="shared" si="8"/>
        <v>0</v>
      </c>
      <c r="U37" s="28" t="str">
        <f t="shared" si="9"/>
        <v/>
      </c>
      <c r="V37" s="28" t="str">
        <f t="shared" si="10"/>
        <v>✗</v>
      </c>
    </row>
    <row r="38" spans="1:22" x14ac:dyDescent="0.2">
      <c r="A38" s="22">
        <v>8</v>
      </c>
      <c r="B38" s="23">
        <f>(B37-Q37)*(1+Rates!$B$3)</f>
        <v>0</v>
      </c>
      <c r="C38" s="23">
        <f>(C37-R37)*(1+Rates!$B$4)</f>
        <v>0</v>
      </c>
      <c r="D38" s="23">
        <f>(D37-S37+T37+IF(A38=$B$27,$B$16,0))*(1+Rates!$B$5)</f>
        <v>-6844238.0385932354</v>
      </c>
      <c r="E38" s="23">
        <f>E37*(1+Rates!$B$6)</f>
        <v>0</v>
      </c>
      <c r="F38" s="23">
        <f t="shared" si="0"/>
        <v>-6844238.0385932354</v>
      </c>
      <c r="G38" s="23">
        <f>G37*(1+Rates!$B$8)</f>
        <v>918056.49092976504</v>
      </c>
      <c r="H38" s="23">
        <f>H37*(1+Rates!$B$9)</f>
        <v>659783.49305545748</v>
      </c>
      <c r="I38" s="23">
        <v>0</v>
      </c>
      <c r="J38" s="23">
        <f t="shared" si="1"/>
        <v>1577839.9839852224</v>
      </c>
      <c r="K38" s="23">
        <f>K37*(1+Rates!$B$10)</f>
        <v>0</v>
      </c>
      <c r="L38" s="23">
        <f>E38*Rates!$B$7</f>
        <v>0</v>
      </c>
      <c r="M38" s="23">
        <f>IF(A38&gt;=$B$26,IF(M37=0,$B$14*12,M37*(1+Rates!$B$12)),0)</f>
        <v>0</v>
      </c>
      <c r="N38" s="23">
        <f t="shared" si="2"/>
        <v>0</v>
      </c>
      <c r="O38" s="24">
        <f t="shared" si="3"/>
        <v>-1577839.9839852224</v>
      </c>
      <c r="P38" s="23">
        <f t="shared" si="4"/>
        <v>1577839.9839852224</v>
      </c>
      <c r="Q38" s="23">
        <f t="shared" si="5"/>
        <v>0</v>
      </c>
      <c r="R38" s="23">
        <f t="shared" si="6"/>
        <v>0</v>
      </c>
      <c r="S38" s="23">
        <f t="shared" si="7"/>
        <v>1577839.9839852224</v>
      </c>
      <c r="T38" s="23">
        <f t="shared" si="8"/>
        <v>0</v>
      </c>
      <c r="U38" s="25" t="str">
        <f t="shared" si="9"/>
        <v/>
      </c>
      <c r="V38" s="25" t="str">
        <f t="shared" si="10"/>
        <v>✗</v>
      </c>
    </row>
    <row r="39" spans="1:22" x14ac:dyDescent="0.2">
      <c r="A39" s="22">
        <v>9</v>
      </c>
      <c r="B39" s="26">
        <f>(B38-Q38)*(1+Rates!$B$3)</f>
        <v>0</v>
      </c>
      <c r="C39" s="26">
        <f>(C38-R38)*(1+Rates!$B$4)</f>
        <v>0</v>
      </c>
      <c r="D39" s="26">
        <f>(D38-S38+T38+IF(A39=$B$27,$B$16,0))*(1+Rates!$B$5)</f>
        <v>-9264285.8248363044</v>
      </c>
      <c r="E39" s="26">
        <f>E38*(1+Rates!$B$6)</f>
        <v>0</v>
      </c>
      <c r="F39" s="26">
        <f t="shared" si="0"/>
        <v>-9264285.8248363044</v>
      </c>
      <c r="G39" s="26">
        <f>G38*(1+Rates!$B$8)</f>
        <v>973139.88038555102</v>
      </c>
      <c r="H39" s="26">
        <f>H38*(1+Rates!$B$9)</f>
        <v>705968.33756933955</v>
      </c>
      <c r="I39" s="26">
        <v>0</v>
      </c>
      <c r="J39" s="26">
        <f t="shared" si="1"/>
        <v>1679108.2179548906</v>
      </c>
      <c r="K39" s="26">
        <f>K38*(1+Rates!$B$10)</f>
        <v>0</v>
      </c>
      <c r="L39" s="26">
        <f>E39*Rates!$B$7</f>
        <v>0</v>
      </c>
      <c r="M39" s="26">
        <f>IF(A39&gt;=$B$26,IF(M38=0,$B$14*12,M38*(1+Rates!$B$12)),0)</f>
        <v>0</v>
      </c>
      <c r="N39" s="26">
        <f t="shared" si="2"/>
        <v>0</v>
      </c>
      <c r="O39" s="27">
        <f t="shared" si="3"/>
        <v>-1679108.2179548906</v>
      </c>
      <c r="P39" s="26">
        <f t="shared" si="4"/>
        <v>1679108.2179548906</v>
      </c>
      <c r="Q39" s="26">
        <f t="shared" si="5"/>
        <v>0</v>
      </c>
      <c r="R39" s="26">
        <f t="shared" si="6"/>
        <v>0</v>
      </c>
      <c r="S39" s="26">
        <f t="shared" si="7"/>
        <v>1679108.2179548906</v>
      </c>
      <c r="T39" s="26">
        <f t="shared" si="8"/>
        <v>0</v>
      </c>
      <c r="U39" s="28" t="str">
        <f t="shared" si="9"/>
        <v/>
      </c>
      <c r="V39" s="28" t="str">
        <f t="shared" si="10"/>
        <v>✗</v>
      </c>
    </row>
    <row r="40" spans="1:22" x14ac:dyDescent="0.2">
      <c r="A40" s="22">
        <v>10</v>
      </c>
      <c r="B40" s="23">
        <f>(B39-Q39)*(1+Rates!$B$3)</f>
        <v>0</v>
      </c>
      <c r="C40" s="23">
        <f>(C39-R39)*(1+Rates!$B$4)</f>
        <v>0</v>
      </c>
      <c r="D40" s="23">
        <f>(D39-S39+T39+IF(A40=$B$27,$B$16,0))*(1+Rates!$B$5)</f>
        <v>-12037733.447070315</v>
      </c>
      <c r="E40" s="23">
        <f>E39*(1+Rates!$B$6)</f>
        <v>0</v>
      </c>
      <c r="F40" s="23">
        <f t="shared" si="0"/>
        <v>-12037733.447070315</v>
      </c>
      <c r="G40" s="23">
        <f>G39*(1+Rates!$B$8)</f>
        <v>1031528.2732086842</v>
      </c>
      <c r="H40" s="23">
        <f>H39*(1+Rates!$B$9)</f>
        <v>755386.12119919341</v>
      </c>
      <c r="I40" s="23">
        <v>0</v>
      </c>
      <c r="J40" s="23">
        <f t="shared" si="1"/>
        <v>1786914.3944078777</v>
      </c>
      <c r="K40" s="23">
        <f>K39*(1+Rates!$B$10)</f>
        <v>0</v>
      </c>
      <c r="L40" s="23">
        <f>E40*Rates!$B$7</f>
        <v>0</v>
      </c>
      <c r="M40" s="23">
        <f>IF(A40&gt;=$B$26,IF(M39=0,$B$14*12,M39*(1+Rates!$B$12)),0)</f>
        <v>0</v>
      </c>
      <c r="N40" s="23">
        <f t="shared" si="2"/>
        <v>0</v>
      </c>
      <c r="O40" s="24">
        <f t="shared" si="3"/>
        <v>-1786914.3944078777</v>
      </c>
      <c r="P40" s="23">
        <f t="shared" si="4"/>
        <v>1786914.3944078777</v>
      </c>
      <c r="Q40" s="23">
        <f t="shared" si="5"/>
        <v>0</v>
      </c>
      <c r="R40" s="23">
        <f t="shared" si="6"/>
        <v>0</v>
      </c>
      <c r="S40" s="23">
        <f t="shared" si="7"/>
        <v>1786914.3944078777</v>
      </c>
      <c r="T40" s="23">
        <f t="shared" si="8"/>
        <v>0</v>
      </c>
      <c r="U40" s="25" t="str">
        <f t="shared" si="9"/>
        <v/>
      </c>
      <c r="V40" s="25" t="str">
        <f t="shared" si="10"/>
        <v>✗</v>
      </c>
    </row>
    <row r="41" spans="1:22" x14ac:dyDescent="0.2">
      <c r="A41" s="22">
        <v>11</v>
      </c>
      <c r="B41" s="26">
        <f>(B40-Q40)*(1+Rates!$B$3)</f>
        <v>0</v>
      </c>
      <c r="C41" s="26">
        <f>(C40-R40)*(1+Rates!$B$4)</f>
        <v>0</v>
      </c>
      <c r="D41" s="26">
        <f>(D40-S40+T40+IF(A41=$B$27,$B$16,0))*(1+Rates!$B$5)</f>
        <v>-15207112.625626015</v>
      </c>
      <c r="E41" s="26">
        <f>E40*(1+Rates!$B$6)</f>
        <v>0</v>
      </c>
      <c r="F41" s="26">
        <f t="shared" si="0"/>
        <v>-15207112.625626015</v>
      </c>
      <c r="G41" s="26">
        <f>G40*(1+Rates!$B$8)</f>
        <v>1093419.9696012053</v>
      </c>
      <c r="H41" s="26">
        <f>H40*(1+Rates!$B$9)</f>
        <v>808263.14968313696</v>
      </c>
      <c r="I41" s="26">
        <v>0</v>
      </c>
      <c r="J41" s="26">
        <f t="shared" si="1"/>
        <v>1901683.1192843423</v>
      </c>
      <c r="K41" s="26">
        <f>K40*(1+Rates!$B$10)</f>
        <v>0</v>
      </c>
      <c r="L41" s="26">
        <f>E41*Rates!$B$7</f>
        <v>0</v>
      </c>
      <c r="M41" s="26">
        <f>IF(A41&gt;=$B$26,IF(M40=0,$B$14*12,M40*(1+Rates!$B$12)),0)</f>
        <v>0</v>
      </c>
      <c r="N41" s="26">
        <f t="shared" si="2"/>
        <v>0</v>
      </c>
      <c r="O41" s="27">
        <f t="shared" si="3"/>
        <v>-1901683.1192843423</v>
      </c>
      <c r="P41" s="26">
        <f t="shared" si="4"/>
        <v>1901683.1192843423</v>
      </c>
      <c r="Q41" s="26">
        <f t="shared" si="5"/>
        <v>0</v>
      </c>
      <c r="R41" s="26">
        <f t="shared" si="6"/>
        <v>0</v>
      </c>
      <c r="S41" s="26">
        <f t="shared" si="7"/>
        <v>1901683.1192843423</v>
      </c>
      <c r="T41" s="26">
        <f t="shared" si="8"/>
        <v>0</v>
      </c>
      <c r="U41" s="28" t="str">
        <f t="shared" si="9"/>
        <v/>
      </c>
      <c r="V41" s="28" t="str">
        <f t="shared" si="10"/>
        <v>✗</v>
      </c>
    </row>
    <row r="42" spans="1:22" x14ac:dyDescent="0.2">
      <c r="A42" s="22">
        <v>12</v>
      </c>
      <c r="B42" s="23">
        <f>(B41-Q41)*(1+Rates!$B$3)</f>
        <v>0</v>
      </c>
      <c r="C42" s="23">
        <f>(C41-R41)*(1+Rates!$B$4)</f>
        <v>0</v>
      </c>
      <c r="D42" s="23">
        <f>(D41-S41+T41+IF(A42=$B$27,$B$16,0))*(1+Rates!$B$5)</f>
        <v>-18819675.319401395</v>
      </c>
      <c r="E42" s="23">
        <f>E41*(1+Rates!$B$6)</f>
        <v>0</v>
      </c>
      <c r="F42" s="23">
        <f t="shared" si="0"/>
        <v>-18819675.319401395</v>
      </c>
      <c r="G42" s="23">
        <f>G41*(1+Rates!$B$8)</f>
        <v>1159025.1677772778</v>
      </c>
      <c r="H42" s="23">
        <f>H41*(1+Rates!$B$9)</f>
        <v>864841.57016095659</v>
      </c>
      <c r="I42" s="23">
        <v>0</v>
      </c>
      <c r="J42" s="23">
        <f t="shared" si="1"/>
        <v>2023866.7379382343</v>
      </c>
      <c r="K42" s="23">
        <f>K41*(1+Rates!$B$10)</f>
        <v>0</v>
      </c>
      <c r="L42" s="23">
        <f>E42*Rates!$B$7</f>
        <v>0</v>
      </c>
      <c r="M42" s="23">
        <f>IF(A42&gt;=$B$26,IF(M41=0,$B$14*12,M41*(1+Rates!$B$12)),0)</f>
        <v>0</v>
      </c>
      <c r="N42" s="23">
        <f t="shared" si="2"/>
        <v>0</v>
      </c>
      <c r="O42" s="24">
        <f t="shared" si="3"/>
        <v>-2023866.7379382343</v>
      </c>
      <c r="P42" s="23">
        <f t="shared" si="4"/>
        <v>2023866.7379382343</v>
      </c>
      <c r="Q42" s="23">
        <f t="shared" si="5"/>
        <v>0</v>
      </c>
      <c r="R42" s="23">
        <f t="shared" si="6"/>
        <v>0</v>
      </c>
      <c r="S42" s="23">
        <f t="shared" si="7"/>
        <v>2023866.7379382343</v>
      </c>
      <c r="T42" s="23">
        <f t="shared" si="8"/>
        <v>0</v>
      </c>
      <c r="U42" s="25" t="str">
        <f t="shared" si="9"/>
        <v/>
      </c>
      <c r="V42" s="25" t="str">
        <f t="shared" si="10"/>
        <v>✗</v>
      </c>
    </row>
    <row r="43" spans="1:22" x14ac:dyDescent="0.2">
      <c r="A43" s="22">
        <v>13</v>
      </c>
      <c r="B43" s="26">
        <f>(B42-Q42)*(1+Rates!$B$3)</f>
        <v>0</v>
      </c>
      <c r="C43" s="26">
        <f>(C42-R42)*(1+Rates!$B$4)</f>
        <v>0</v>
      </c>
      <c r="D43" s="26">
        <f>(D42-S42+T42+IF(A43=$B$27,$B$16,0))*(1+Rates!$B$5)</f>
        <v>-22927896.263073593</v>
      </c>
      <c r="E43" s="26">
        <f>E42*(1+Rates!$B$6)</f>
        <v>0</v>
      </c>
      <c r="F43" s="26">
        <f t="shared" si="0"/>
        <v>-22927896.263073593</v>
      </c>
      <c r="G43" s="26">
        <f>G42*(1+Rates!$B$8)</f>
        <v>1228566.6778439146</v>
      </c>
      <c r="H43" s="26">
        <f>H42*(1+Rates!$B$9)</f>
        <v>925380.48007222358</v>
      </c>
      <c r="I43" s="26">
        <v>0</v>
      </c>
      <c r="J43" s="26">
        <f t="shared" si="1"/>
        <v>2153947.1579161379</v>
      </c>
      <c r="K43" s="26">
        <f>K42*(1+Rates!$B$10)</f>
        <v>0</v>
      </c>
      <c r="L43" s="26">
        <f>E43*Rates!$B$7</f>
        <v>0</v>
      </c>
      <c r="M43" s="26">
        <f>IF(A43&gt;=$B$26,IF(M42=0,$B$14*12,M42*(1+Rates!$B$12)),0)</f>
        <v>0</v>
      </c>
      <c r="N43" s="26">
        <f t="shared" si="2"/>
        <v>0</v>
      </c>
      <c r="O43" s="27">
        <f t="shared" si="3"/>
        <v>-2153947.1579161379</v>
      </c>
      <c r="P43" s="26">
        <f t="shared" si="4"/>
        <v>2153947.1579161379</v>
      </c>
      <c r="Q43" s="26">
        <f t="shared" si="5"/>
        <v>0</v>
      </c>
      <c r="R43" s="26">
        <f t="shared" si="6"/>
        <v>0</v>
      </c>
      <c r="S43" s="26">
        <f t="shared" si="7"/>
        <v>2153947.1579161379</v>
      </c>
      <c r="T43" s="26">
        <f t="shared" si="8"/>
        <v>0</v>
      </c>
      <c r="U43" s="28" t="str">
        <f t="shared" si="9"/>
        <v/>
      </c>
      <c r="V43" s="28" t="str">
        <f t="shared" si="10"/>
        <v>✗</v>
      </c>
    </row>
    <row r="44" spans="1:22" x14ac:dyDescent="0.2">
      <c r="A44" s="22">
        <v>14</v>
      </c>
      <c r="B44" s="23">
        <f>(B43-Q43)*(1+Rates!$B$3)</f>
        <v>0</v>
      </c>
      <c r="C44" s="23">
        <f>(C43-R43)*(1+Rates!$B$4)</f>
        <v>0</v>
      </c>
      <c r="D44" s="23">
        <f>(D43-S43+T43+IF(A44=$B$27,$B$16,0))*(1+Rates!$B$5)</f>
        <v>-27590027.763088703</v>
      </c>
      <c r="E44" s="23">
        <f>E43*(1+Rates!$B$6)</f>
        <v>0</v>
      </c>
      <c r="F44" s="23">
        <f t="shared" si="0"/>
        <v>-27590027.763088703</v>
      </c>
      <c r="G44" s="23">
        <f>G43*(1+Rates!$B$8)</f>
        <v>1302280.6785145495</v>
      </c>
      <c r="H44" s="23">
        <f>H43*(1+Rates!$B$9)</f>
        <v>990157.11367727933</v>
      </c>
      <c r="I44" s="23">
        <v>0</v>
      </c>
      <c r="J44" s="23">
        <f t="shared" si="1"/>
        <v>2292437.7921918286</v>
      </c>
      <c r="K44" s="23">
        <f>K43*(1+Rates!$B$10)</f>
        <v>0</v>
      </c>
      <c r="L44" s="23">
        <f>E44*Rates!$B$7</f>
        <v>0</v>
      </c>
      <c r="M44" s="23">
        <f>IF(A44&gt;=$B$26,IF(M43=0,$B$14*12,M43*(1+Rates!$B$12)),0)</f>
        <v>0</v>
      </c>
      <c r="N44" s="23">
        <f t="shared" si="2"/>
        <v>0</v>
      </c>
      <c r="O44" s="24">
        <f t="shared" si="3"/>
        <v>-2292437.7921918286</v>
      </c>
      <c r="P44" s="23">
        <f t="shared" si="4"/>
        <v>2292437.7921918286</v>
      </c>
      <c r="Q44" s="23">
        <f t="shared" si="5"/>
        <v>0</v>
      </c>
      <c r="R44" s="23">
        <f t="shared" si="6"/>
        <v>0</v>
      </c>
      <c r="S44" s="23">
        <f t="shared" si="7"/>
        <v>2292437.7921918286</v>
      </c>
      <c r="T44" s="23">
        <f t="shared" si="8"/>
        <v>0</v>
      </c>
      <c r="U44" s="25" t="str">
        <f t="shared" si="9"/>
        <v/>
      </c>
      <c r="V44" s="25" t="str">
        <f t="shared" si="10"/>
        <v>✗</v>
      </c>
    </row>
    <row r="45" spans="1:22" x14ac:dyDescent="0.2">
      <c r="A45" s="22">
        <v>15</v>
      </c>
      <c r="B45" s="26">
        <f>(B44-Q44)*(1+Rates!$B$3)</f>
        <v>0</v>
      </c>
      <c r="C45" s="26">
        <f>(C44-R44)*(1+Rates!$B$4)</f>
        <v>0</v>
      </c>
      <c r="D45" s="26">
        <f>(D44-S44+T44+IF(A45=$B$27,$B$16,0))*(1+Rates!$B$5)</f>
        <v>-32870712.110808589</v>
      </c>
      <c r="E45" s="26">
        <f>E44*(1+Rates!$B$6)</f>
        <v>0</v>
      </c>
      <c r="F45" s="26">
        <f t="shared" si="0"/>
        <v>-32870712.110808589</v>
      </c>
      <c r="G45" s="26">
        <f>G44*(1+Rates!$B$8)</f>
        <v>1380417.5192254225</v>
      </c>
      <c r="H45" s="26">
        <f>H44*(1+Rates!$B$9)</f>
        <v>1059468.1116346889</v>
      </c>
      <c r="I45" s="26">
        <v>0</v>
      </c>
      <c r="J45" s="26">
        <f t="shared" si="1"/>
        <v>2439885.6308601117</v>
      </c>
      <c r="K45" s="26">
        <f>K44*(1+Rates!$B$10)</f>
        <v>0</v>
      </c>
      <c r="L45" s="26">
        <f>E45*Rates!$B$7</f>
        <v>0</v>
      </c>
      <c r="M45" s="26">
        <f>IF(A45&gt;=$B$26,IF(M44=0,$B$14*12,M44*(1+Rates!$B$12)),0)</f>
        <v>0</v>
      </c>
      <c r="N45" s="26">
        <f t="shared" si="2"/>
        <v>0</v>
      </c>
      <c r="O45" s="27">
        <f t="shared" si="3"/>
        <v>-2439885.6308601117</v>
      </c>
      <c r="P45" s="26">
        <f t="shared" si="4"/>
        <v>2439885.6308601117</v>
      </c>
      <c r="Q45" s="26">
        <f t="shared" si="5"/>
        <v>0</v>
      </c>
      <c r="R45" s="26">
        <f t="shared" si="6"/>
        <v>0</v>
      </c>
      <c r="S45" s="26">
        <f t="shared" si="7"/>
        <v>2439885.6308601117</v>
      </c>
      <c r="T45" s="26">
        <f t="shared" si="8"/>
        <v>0</v>
      </c>
      <c r="U45" s="28" t="str">
        <f t="shared" si="9"/>
        <v/>
      </c>
      <c r="V45" s="28" t="str">
        <f t="shared" si="10"/>
        <v>✗</v>
      </c>
    </row>
    <row r="46" spans="1:22" x14ac:dyDescent="0.2">
      <c r="A46" s="22">
        <v>16</v>
      </c>
      <c r="B46" s="23">
        <f>(B45-Q45)*(1+Rates!$B$3)</f>
        <v>0</v>
      </c>
      <c r="C46" s="23">
        <f>(C45-R45)*(1+Rates!$B$4)</f>
        <v>0</v>
      </c>
      <c r="D46" s="23">
        <f>(D45-S45+T45+IF(A46=$B$27,$B$16,0))*(1+Rates!$B$5)</f>
        <v>-38841657.515835576</v>
      </c>
      <c r="E46" s="23">
        <f>E45*(1+Rates!$B$6)</f>
        <v>0</v>
      </c>
      <c r="F46" s="23">
        <f t="shared" si="0"/>
        <v>-38841657.515835576</v>
      </c>
      <c r="G46" s="23">
        <f>G45*(1+Rates!$B$8)</f>
        <v>1463242.570378948</v>
      </c>
      <c r="H46" s="23">
        <f>H45*(1+Rates!$B$9)</f>
        <v>1133630.8794491172</v>
      </c>
      <c r="I46" s="23">
        <v>0</v>
      </c>
      <c r="J46" s="23">
        <f t="shared" si="1"/>
        <v>2596873.449828065</v>
      </c>
      <c r="K46" s="23">
        <f>K45*(1+Rates!$B$10)</f>
        <v>0</v>
      </c>
      <c r="L46" s="23">
        <f>E46*Rates!$B$7</f>
        <v>0</v>
      </c>
      <c r="M46" s="23">
        <f>IF(A46&gt;=$B$26,IF(M45=0,$B$14*12,M45*(1+Rates!$B$12)),0)</f>
        <v>0</v>
      </c>
      <c r="N46" s="23">
        <f t="shared" si="2"/>
        <v>0</v>
      </c>
      <c r="O46" s="24">
        <f t="shared" si="3"/>
        <v>-2596873.449828065</v>
      </c>
      <c r="P46" s="23">
        <f t="shared" si="4"/>
        <v>2596873.449828065</v>
      </c>
      <c r="Q46" s="23">
        <f t="shared" si="5"/>
        <v>0</v>
      </c>
      <c r="R46" s="23">
        <f t="shared" si="6"/>
        <v>0</v>
      </c>
      <c r="S46" s="23">
        <f t="shared" si="7"/>
        <v>2596873.449828065</v>
      </c>
      <c r="T46" s="23">
        <f t="shared" si="8"/>
        <v>0</v>
      </c>
      <c r="U46" s="25" t="str">
        <f t="shared" si="9"/>
        <v/>
      </c>
      <c r="V46" s="25" t="str">
        <f t="shared" si="10"/>
        <v>✗</v>
      </c>
    </row>
    <row r="47" spans="1:22" x14ac:dyDescent="0.2">
      <c r="A47" s="22">
        <v>17</v>
      </c>
      <c r="B47" s="26">
        <f>(B46-Q46)*(1+Rates!$B$3)</f>
        <v>0</v>
      </c>
      <c r="C47" s="26">
        <f>(C46-R46)*(1+Rates!$B$4)</f>
        <v>0</v>
      </c>
      <c r="D47" s="26">
        <f>(D46-S46+T46+IF(A47=$B$27,$B$16,0))*(1+Rates!$B$5)</f>
        <v>-45582384.062230006</v>
      </c>
      <c r="E47" s="26">
        <f>E46*(1+Rates!$B$6)</f>
        <v>0</v>
      </c>
      <c r="F47" s="26">
        <f t="shared" si="0"/>
        <v>-45582384.062230006</v>
      </c>
      <c r="G47" s="26">
        <f>G46*(1+Rates!$B$8)</f>
        <v>1551037.124601685</v>
      </c>
      <c r="H47" s="26">
        <f>H46*(1+Rates!$B$9)</f>
        <v>1212985.0410105556</v>
      </c>
      <c r="I47" s="26">
        <v>0</v>
      </c>
      <c r="J47" s="26">
        <f t="shared" si="1"/>
        <v>2764022.1656122403</v>
      </c>
      <c r="K47" s="26">
        <f>K46*(1+Rates!$B$10)</f>
        <v>0</v>
      </c>
      <c r="L47" s="26">
        <f>E47*Rates!$B$7</f>
        <v>0</v>
      </c>
      <c r="M47" s="26">
        <f>IF(A47&gt;=$B$26,IF(M46=0,$B$14*12,M46*(1+Rates!$B$12)),0)</f>
        <v>0</v>
      </c>
      <c r="N47" s="26">
        <f t="shared" si="2"/>
        <v>0</v>
      </c>
      <c r="O47" s="27">
        <f t="shared" si="3"/>
        <v>-2764022.1656122403</v>
      </c>
      <c r="P47" s="26">
        <f t="shared" si="4"/>
        <v>2764022.1656122403</v>
      </c>
      <c r="Q47" s="26">
        <f t="shared" si="5"/>
        <v>0</v>
      </c>
      <c r="R47" s="26">
        <f t="shared" si="6"/>
        <v>0</v>
      </c>
      <c r="S47" s="26">
        <f t="shared" si="7"/>
        <v>2764022.1656122403</v>
      </c>
      <c r="T47" s="26">
        <f t="shared" si="8"/>
        <v>0</v>
      </c>
      <c r="U47" s="28" t="str">
        <f t="shared" si="9"/>
        <v/>
      </c>
      <c r="V47" s="28" t="str">
        <f t="shared" si="10"/>
        <v>✗</v>
      </c>
    </row>
    <row r="48" spans="1:22" x14ac:dyDescent="0.2">
      <c r="A48" s="22">
        <v>18</v>
      </c>
      <c r="B48" s="23">
        <f>(B47-Q47)*(1+Rates!$B$3)</f>
        <v>0</v>
      </c>
      <c r="C48" s="23">
        <f>(C47-R47)*(1+Rates!$B$4)</f>
        <v>0</v>
      </c>
      <c r="D48" s="23">
        <f>(D47-S47+T47+IF(A48=$B$27,$B$16,0))*(1+Rates!$B$5)</f>
        <v>-53181046.850626476</v>
      </c>
      <c r="E48" s="23">
        <f>E47*(1+Rates!$B$6)</f>
        <v>0</v>
      </c>
      <c r="F48" s="23">
        <f t="shared" si="0"/>
        <v>-53181046.850626476</v>
      </c>
      <c r="G48" s="23">
        <f>G47*(1+Rates!$B$8)</f>
        <v>1644099.3520777861</v>
      </c>
      <c r="H48" s="23">
        <f>H47*(1+Rates!$B$9)</f>
        <v>1297893.9938812945</v>
      </c>
      <c r="I48" s="23">
        <v>0</v>
      </c>
      <c r="J48" s="23">
        <f t="shared" si="1"/>
        <v>2941993.3459590804</v>
      </c>
      <c r="K48" s="23">
        <f>K47*(1+Rates!$B$10)</f>
        <v>0</v>
      </c>
      <c r="L48" s="23">
        <f>E48*Rates!$B$7</f>
        <v>0</v>
      </c>
      <c r="M48" s="23">
        <f>IF(A48&gt;=$B$26,IF(M47=0,$B$14*12,M47*(1+Rates!$B$12)),0)</f>
        <v>0</v>
      </c>
      <c r="N48" s="23">
        <f t="shared" si="2"/>
        <v>0</v>
      </c>
      <c r="O48" s="24">
        <f t="shared" si="3"/>
        <v>-2941993.3459590804</v>
      </c>
      <c r="P48" s="23">
        <f t="shared" si="4"/>
        <v>2941993.3459590804</v>
      </c>
      <c r="Q48" s="23">
        <f t="shared" si="5"/>
        <v>0</v>
      </c>
      <c r="R48" s="23">
        <f t="shared" si="6"/>
        <v>0</v>
      </c>
      <c r="S48" s="23">
        <f t="shared" si="7"/>
        <v>2941993.3459590804</v>
      </c>
      <c r="T48" s="23">
        <f t="shared" si="8"/>
        <v>0</v>
      </c>
      <c r="U48" s="25" t="str">
        <f t="shared" si="9"/>
        <v/>
      </c>
      <c r="V48" s="25" t="str">
        <f t="shared" si="10"/>
        <v>✗</v>
      </c>
    </row>
    <row r="49" spans="1:22" x14ac:dyDescent="0.2">
      <c r="A49" s="22">
        <v>19</v>
      </c>
      <c r="B49" s="26">
        <f>(B48-Q48)*(1+Rates!$B$3)</f>
        <v>0</v>
      </c>
      <c r="C49" s="26">
        <f>(C48-R48)*(1+Rates!$B$4)</f>
        <v>0</v>
      </c>
      <c r="D49" s="26">
        <f>(D48-S48+T48+IF(A49=$B$27,$B$16,0))*(1+Rates!$B$5)</f>
        <v>-61735344.216244116</v>
      </c>
      <c r="E49" s="26">
        <f>E48*(1+Rates!$B$6)</f>
        <v>0</v>
      </c>
      <c r="F49" s="26">
        <f t="shared" si="0"/>
        <v>-61735344.216244116</v>
      </c>
      <c r="G49" s="26">
        <f>G48*(1+Rates!$B$8)</f>
        <v>1742745.3132024533</v>
      </c>
      <c r="H49" s="26">
        <f>H48*(1+Rates!$B$9)</f>
        <v>1388746.5734529851</v>
      </c>
      <c r="I49" s="26">
        <v>0</v>
      </c>
      <c r="J49" s="26">
        <f t="shared" si="1"/>
        <v>3131491.8866554387</v>
      </c>
      <c r="K49" s="26">
        <f>K48*(1+Rates!$B$10)</f>
        <v>0</v>
      </c>
      <c r="L49" s="26">
        <f>E49*Rates!$B$7</f>
        <v>0</v>
      </c>
      <c r="M49" s="26">
        <f>IF(A49&gt;=$B$26,IF(M48=0,$B$14*12,M48*(1+Rates!$B$12)),0)</f>
        <v>0</v>
      </c>
      <c r="N49" s="26">
        <f t="shared" si="2"/>
        <v>0</v>
      </c>
      <c r="O49" s="27">
        <f t="shared" si="3"/>
        <v>-3131491.8866554387</v>
      </c>
      <c r="P49" s="26">
        <f t="shared" si="4"/>
        <v>3131491.8866554387</v>
      </c>
      <c r="Q49" s="26">
        <f t="shared" si="5"/>
        <v>0</v>
      </c>
      <c r="R49" s="26">
        <f t="shared" si="6"/>
        <v>0</v>
      </c>
      <c r="S49" s="26">
        <f t="shared" si="7"/>
        <v>3131491.8866554387</v>
      </c>
      <c r="T49" s="26">
        <f t="shared" si="8"/>
        <v>0</v>
      </c>
      <c r="U49" s="28" t="str">
        <f t="shared" si="9"/>
        <v/>
      </c>
      <c r="V49" s="28" t="str">
        <f t="shared" si="10"/>
        <v>✗</v>
      </c>
    </row>
    <row r="50" spans="1:22" x14ac:dyDescent="0.2">
      <c r="A50" s="22">
        <v>20</v>
      </c>
      <c r="B50" s="23">
        <f>(B49-Q49)*(1+Rates!$B$3)</f>
        <v>0</v>
      </c>
      <c r="C50" s="23">
        <f>(C49-R49)*(1+Rates!$B$4)</f>
        <v>0</v>
      </c>
      <c r="D50" s="23">
        <f>(D49-S49+T49+IF(A50=$B$27,$B$16,0))*(1+Rates!$B$5)</f>
        <v>-71353519.713189512</v>
      </c>
      <c r="E50" s="23">
        <f>E49*(1+Rates!$B$6)</f>
        <v>0</v>
      </c>
      <c r="F50" s="23">
        <f t="shared" si="0"/>
        <v>-71353519.713189512</v>
      </c>
      <c r="G50" s="23">
        <f>G49*(1+Rates!$B$8)</f>
        <v>1847310.0319946005</v>
      </c>
      <c r="H50" s="23">
        <f>H49*(1+Rates!$B$9)</f>
        <v>1485958.8335946943</v>
      </c>
      <c r="I50" s="23">
        <v>0</v>
      </c>
      <c r="J50" s="23">
        <f t="shared" si="1"/>
        <v>3333268.8655892946</v>
      </c>
      <c r="K50" s="23">
        <f>K49*(1+Rates!$B$10)</f>
        <v>0</v>
      </c>
      <c r="L50" s="23">
        <f>E50*Rates!$B$7</f>
        <v>0</v>
      </c>
      <c r="M50" s="23">
        <f>IF(A50&gt;=$B$26,IF(M49=0,$B$14*12,M49*(1+Rates!$B$12)),0)</f>
        <v>0</v>
      </c>
      <c r="N50" s="23">
        <f t="shared" si="2"/>
        <v>0</v>
      </c>
      <c r="O50" s="24">
        <f t="shared" si="3"/>
        <v>-3333268.8655892946</v>
      </c>
      <c r="P50" s="23">
        <f t="shared" si="4"/>
        <v>3333268.8655892946</v>
      </c>
      <c r="Q50" s="23">
        <f t="shared" si="5"/>
        <v>0</v>
      </c>
      <c r="R50" s="23">
        <f t="shared" si="6"/>
        <v>0</v>
      </c>
      <c r="S50" s="23">
        <f t="shared" si="7"/>
        <v>3333268.8655892946</v>
      </c>
      <c r="T50" s="23">
        <f t="shared" si="8"/>
        <v>0</v>
      </c>
      <c r="U50" s="25" t="str">
        <f t="shared" si="9"/>
        <v/>
      </c>
      <c r="V50" s="25" t="str">
        <f t="shared" si="10"/>
        <v>✗</v>
      </c>
    </row>
    <row r="52" spans="1:22" x14ac:dyDescent="0.2">
      <c r="A52" s="31" t="s">
        <v>190</v>
      </c>
      <c r="B52" s="32"/>
      <c r="C52" s="32"/>
      <c r="D52" s="32"/>
      <c r="E52" s="32"/>
      <c r="F52" s="33"/>
    </row>
    <row r="53" spans="1:22" ht="60" x14ac:dyDescent="0.2">
      <c r="A53" s="7" t="s">
        <v>191</v>
      </c>
      <c r="B53" s="18">
        <f>F50</f>
        <v>-71353519.713189512</v>
      </c>
    </row>
    <row r="54" spans="1:22" ht="45" x14ac:dyDescent="0.2">
      <c r="A54" s="7" t="s">
        <v>192</v>
      </c>
      <c r="B54" s="17" t="str">
        <f>IFERROR(INDEX(A30:A50,MATCH("✓",U30:U50,0)),"Never")</f>
        <v>Never</v>
      </c>
    </row>
    <row r="55" spans="1:22" ht="90" x14ac:dyDescent="0.2">
      <c r="A55" s="7" t="s">
        <v>193</v>
      </c>
      <c r="B55" s="17" t="str">
        <f>IF(F50&gt;B19*12*5,"YES","NO")</f>
        <v>NO</v>
      </c>
    </row>
    <row r="56" spans="1:22" ht="60" x14ac:dyDescent="0.2">
      <c r="A56" s="7" t="s">
        <v>211</v>
      </c>
      <c r="B56" s="18">
        <f>MAX(0,B24-B23)</f>
        <v>20000000</v>
      </c>
    </row>
    <row r="57" spans="1:22" ht="45" x14ac:dyDescent="0.2">
      <c r="A57" s="7" t="s">
        <v>194</v>
      </c>
      <c r="B57" s="17">
        <f>IFERROR(INDEX(A30:A50,MATCH("✗",V30:V50,0)),"Not depleted in 20 yrs")</f>
        <v>5</v>
      </c>
    </row>
  </sheetData>
  <mergeCells count="3">
    <mergeCell ref="A52:F5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Rates</vt:lpstr>
      <vt:lpstr>FOUNDER_Quick</vt:lpstr>
      <vt:lpstr>RETIRE_Quick</vt:lpstr>
      <vt:lpstr>FOUNDER_Std</vt:lpstr>
      <vt:lpstr>RETIRE_Std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Umashankar M</cp:lastModifiedBy>
  <dcterms:created xsi:type="dcterms:W3CDTF">2026-04-05T01:33:35Z</dcterms:created>
  <dcterms:modified xsi:type="dcterms:W3CDTF">2026-04-05T01:58:22Z</dcterms:modified>
</cp:coreProperties>
</file>